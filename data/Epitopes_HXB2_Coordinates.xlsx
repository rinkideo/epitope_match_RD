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dg5/Desktop/"/>
    </mc:Choice>
  </mc:AlternateContent>
  <xr:revisionPtr revIDLastSave="0" documentId="8_{DAEAD53E-A25A-C846-893F-ABE0536DF889}" xr6:coauthVersionLast="47" xr6:coauthVersionMax="47" xr10:uidLastSave="{00000000-0000-0000-0000-000000000000}"/>
  <bookViews>
    <workbookView xWindow="36160" yWindow="1220" windowWidth="34600" windowHeight="19580" xr2:uid="{56CF74DE-B6FF-9C42-BAAA-BBCAA1709426}"/>
  </bookViews>
  <sheets>
    <sheet name="All Epitope Lists" sheetId="1" r:id="rId1"/>
    <sheet name="ASublist_HXB2_20240606" sheetId="2" r:id="rId2"/>
    <sheet name="ASublist_CladeB_2024060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B2" i="3"/>
  <c r="C2" i="3"/>
  <c r="A3" i="3"/>
  <c r="B3" i="3"/>
  <c r="C3" i="3"/>
  <c r="A4" i="3"/>
  <c r="B4" i="3"/>
  <c r="C4" i="3"/>
  <c r="A5" i="3"/>
  <c r="B5" i="3"/>
  <c r="C5" i="3"/>
  <c r="A6" i="3"/>
  <c r="B6" i="3"/>
  <c r="C6" i="3"/>
  <c r="A7" i="3"/>
  <c r="B7" i="3"/>
  <c r="C7" i="3"/>
  <c r="A8" i="3"/>
  <c r="B8" i="3"/>
  <c r="C8" i="3"/>
  <c r="A9" i="3"/>
  <c r="B9" i="3"/>
  <c r="C9" i="3"/>
  <c r="A10" i="3"/>
  <c r="B10" i="3"/>
  <c r="C10" i="3"/>
  <c r="A11" i="3"/>
  <c r="B11" i="3"/>
  <c r="C11" i="3"/>
  <c r="A12" i="3"/>
  <c r="B12" i="3"/>
  <c r="C12" i="3"/>
  <c r="A13" i="3"/>
  <c r="B13" i="3"/>
  <c r="C13" i="3"/>
  <c r="A14" i="3"/>
  <c r="B14" i="3"/>
  <c r="C14" i="3"/>
  <c r="A15" i="3"/>
  <c r="B15" i="3"/>
  <c r="C15" i="3"/>
  <c r="A16" i="3"/>
  <c r="B16" i="3"/>
  <c r="C16" i="3"/>
  <c r="A17" i="3"/>
  <c r="B17" i="3"/>
  <c r="C17" i="3"/>
  <c r="A18" i="3"/>
  <c r="B18" i="3"/>
  <c r="C18" i="3"/>
  <c r="A19" i="3"/>
  <c r="B19" i="3"/>
  <c r="C19" i="3"/>
  <c r="A20" i="3"/>
  <c r="B20" i="3"/>
  <c r="C20" i="3"/>
  <c r="A21" i="3"/>
  <c r="B21" i="3"/>
  <c r="C21" i="3"/>
  <c r="A22" i="3"/>
  <c r="B22" i="3"/>
  <c r="C22" i="3"/>
  <c r="A23" i="3"/>
  <c r="B23" i="3"/>
  <c r="C23" i="3"/>
  <c r="A24" i="3"/>
  <c r="B24" i="3"/>
  <c r="C24" i="3"/>
  <c r="A25" i="3"/>
  <c r="B25" i="3"/>
  <c r="C25" i="3"/>
  <c r="A26" i="3"/>
  <c r="B26" i="3"/>
  <c r="C26" i="3"/>
  <c r="A27" i="3"/>
  <c r="B27" i="3"/>
  <c r="C27" i="3"/>
  <c r="A28" i="3"/>
  <c r="B28" i="3"/>
  <c r="C28" i="3"/>
  <c r="A29" i="3"/>
  <c r="B29" i="3"/>
  <c r="C29" i="3"/>
  <c r="A30" i="3"/>
  <c r="B30" i="3"/>
  <c r="C30" i="3"/>
  <c r="A31" i="3"/>
  <c r="B31" i="3"/>
  <c r="C31" i="3"/>
  <c r="A32" i="3"/>
  <c r="B32" i="3"/>
  <c r="C32" i="3"/>
  <c r="A33" i="3"/>
  <c r="B33" i="3"/>
  <c r="C33" i="3"/>
  <c r="A34" i="3"/>
  <c r="B34" i="3"/>
  <c r="C34" i="3"/>
  <c r="A35" i="3"/>
  <c r="B35" i="3"/>
  <c r="C35" i="3"/>
  <c r="A36" i="3"/>
  <c r="B36" i="3"/>
  <c r="C36" i="3"/>
  <c r="A37" i="3"/>
  <c r="B37" i="3"/>
  <c r="C37" i="3"/>
  <c r="A38" i="3"/>
  <c r="B38" i="3"/>
  <c r="C38" i="3"/>
  <c r="A39" i="3"/>
  <c r="B39" i="3"/>
  <c r="C39" i="3"/>
  <c r="A40" i="3"/>
  <c r="B40" i="3"/>
  <c r="C40" i="3"/>
  <c r="A41" i="3"/>
  <c r="B41" i="3"/>
  <c r="C41" i="3"/>
  <c r="A42" i="3"/>
  <c r="B42" i="3"/>
  <c r="C42" i="3"/>
  <c r="A43" i="3"/>
  <c r="B43" i="3"/>
  <c r="C43" i="3"/>
  <c r="A44" i="3"/>
  <c r="B44" i="3"/>
  <c r="C44" i="3"/>
  <c r="A45" i="3"/>
  <c r="B45" i="3"/>
  <c r="C45" i="3"/>
  <c r="A46" i="3"/>
  <c r="B46" i="3"/>
  <c r="C46" i="3"/>
  <c r="A47" i="3"/>
  <c r="B47" i="3"/>
  <c r="C47" i="3"/>
  <c r="A48" i="3"/>
  <c r="B48" i="3"/>
  <c r="C48" i="3"/>
  <c r="A49" i="3"/>
  <c r="B49" i="3"/>
  <c r="C49" i="3"/>
  <c r="A50" i="3"/>
  <c r="B50" i="3"/>
  <c r="C50" i="3"/>
  <c r="A51" i="3"/>
  <c r="B51" i="3"/>
  <c r="C51" i="3"/>
  <c r="A52" i="3"/>
  <c r="B52" i="3"/>
  <c r="C52" i="3"/>
  <c r="A53" i="3"/>
  <c r="B53" i="3"/>
  <c r="C53" i="3"/>
  <c r="A54" i="3"/>
  <c r="B54" i="3"/>
  <c r="C54" i="3"/>
  <c r="A55" i="3"/>
  <c r="B55" i="3"/>
  <c r="C55" i="3"/>
  <c r="A56" i="3"/>
  <c r="B56" i="3"/>
  <c r="C56" i="3"/>
  <c r="A57" i="3"/>
  <c r="B57" i="3"/>
  <c r="C57" i="3"/>
  <c r="A58" i="3"/>
  <c r="B58" i="3"/>
  <c r="C58" i="3"/>
  <c r="A59" i="3"/>
  <c r="B59" i="3"/>
  <c r="C59" i="3"/>
  <c r="A60" i="3"/>
  <c r="B60" i="3"/>
  <c r="C60" i="3"/>
  <c r="A61" i="3"/>
  <c r="B61" i="3"/>
  <c r="C61" i="3"/>
  <c r="A62" i="3"/>
  <c r="B62" i="3"/>
  <c r="C62" i="3"/>
  <c r="A63" i="3"/>
  <c r="B63" i="3"/>
  <c r="C63" i="3"/>
  <c r="A64" i="3"/>
  <c r="B64" i="3"/>
  <c r="C64" i="3"/>
  <c r="A65" i="3"/>
  <c r="B65" i="3"/>
  <c r="C65" i="3"/>
  <c r="A66" i="3"/>
  <c r="B66" i="3"/>
  <c r="C66" i="3"/>
  <c r="A67" i="3"/>
  <c r="B67" i="3"/>
  <c r="C67" i="3"/>
  <c r="A68" i="3"/>
  <c r="B68" i="3"/>
  <c r="C68" i="3"/>
  <c r="A69" i="3"/>
  <c r="B69" i="3"/>
  <c r="C69" i="3"/>
  <c r="A70" i="3"/>
  <c r="B70" i="3"/>
  <c r="C70" i="3"/>
  <c r="A71" i="3"/>
  <c r="B71" i="3"/>
  <c r="C71" i="3"/>
  <c r="A72" i="3"/>
  <c r="B72" i="3"/>
  <c r="C72" i="3"/>
  <c r="A73" i="3"/>
  <c r="B73" i="3"/>
  <c r="C73" i="3"/>
  <c r="A74" i="3"/>
  <c r="B74" i="3"/>
  <c r="C74" i="3"/>
  <c r="A75" i="3"/>
  <c r="B75" i="3"/>
  <c r="C75" i="3"/>
  <c r="A76" i="3"/>
  <c r="B76" i="3"/>
  <c r="C76" i="3"/>
  <c r="A77" i="3"/>
  <c r="B77" i="3"/>
  <c r="C77" i="3"/>
  <c r="A78" i="3"/>
  <c r="B78" i="3"/>
  <c r="C78" i="3"/>
  <c r="A79" i="3"/>
  <c r="B79" i="3"/>
  <c r="C79" i="3"/>
  <c r="A80" i="3"/>
  <c r="B80" i="3"/>
  <c r="C80" i="3"/>
  <c r="A81" i="3"/>
  <c r="B81" i="3"/>
  <c r="C81" i="3"/>
  <c r="A82" i="3"/>
  <c r="B82" i="3"/>
  <c r="C82" i="3"/>
  <c r="A83" i="3"/>
  <c r="B83" i="3"/>
  <c r="C83" i="3"/>
  <c r="A84" i="3"/>
  <c r="B84" i="3"/>
  <c r="C84" i="3"/>
  <c r="A85" i="3"/>
  <c r="B85" i="3"/>
  <c r="C85" i="3"/>
  <c r="A86" i="3"/>
  <c r="B86" i="3"/>
  <c r="C86" i="3"/>
  <c r="A87" i="3"/>
  <c r="B87" i="3"/>
  <c r="C87" i="3"/>
  <c r="A88" i="3"/>
  <c r="B88" i="3"/>
  <c r="C88" i="3"/>
  <c r="A89" i="3"/>
  <c r="B89" i="3"/>
  <c r="C89" i="3"/>
  <c r="A90" i="3"/>
  <c r="B90" i="3"/>
  <c r="C90" i="3"/>
  <c r="A91" i="3"/>
  <c r="B91" i="3"/>
  <c r="C91" i="3"/>
  <c r="A92" i="3"/>
  <c r="B92" i="3"/>
  <c r="C92" i="3"/>
  <c r="A93" i="3"/>
  <c r="B93" i="3"/>
  <c r="C93" i="3"/>
  <c r="A94" i="3"/>
  <c r="B94" i="3"/>
  <c r="C94" i="3"/>
  <c r="A95" i="3"/>
  <c r="B95" i="3"/>
  <c r="C95" i="3"/>
  <c r="A96" i="3"/>
  <c r="B96" i="3"/>
  <c r="C96" i="3"/>
  <c r="A97" i="3"/>
  <c r="B97" i="3"/>
  <c r="C97" i="3"/>
  <c r="A98" i="3"/>
  <c r="B98" i="3"/>
  <c r="C98" i="3"/>
  <c r="A99" i="3"/>
  <c r="B99" i="3"/>
  <c r="C99" i="3"/>
  <c r="A100" i="3"/>
  <c r="B100" i="3"/>
  <c r="C100" i="3"/>
  <c r="A101" i="3"/>
  <c r="B101" i="3"/>
  <c r="C101" i="3"/>
  <c r="A102" i="3"/>
  <c r="B102" i="3"/>
  <c r="C102" i="3"/>
  <c r="A103" i="3"/>
  <c r="B103" i="3"/>
  <c r="C103" i="3"/>
  <c r="A104" i="3"/>
  <c r="B104" i="3"/>
  <c r="C104" i="3"/>
  <c r="A105" i="3"/>
  <c r="B105" i="3"/>
  <c r="C105" i="3"/>
  <c r="A106" i="3"/>
  <c r="B106" i="3"/>
  <c r="C106" i="3"/>
  <c r="A107" i="3"/>
  <c r="B107" i="3"/>
  <c r="C107" i="3"/>
  <c r="A108" i="3"/>
  <c r="B108" i="3"/>
  <c r="C108" i="3"/>
  <c r="A109" i="3"/>
  <c r="B109" i="3"/>
  <c r="C109" i="3"/>
  <c r="A110" i="3"/>
  <c r="B110" i="3"/>
  <c r="C110" i="3"/>
  <c r="A111" i="3"/>
  <c r="B111" i="3"/>
  <c r="C111" i="3"/>
  <c r="A112" i="3"/>
  <c r="B112" i="3"/>
  <c r="C112" i="3"/>
  <c r="A113" i="3"/>
  <c r="B113" i="3"/>
  <c r="C113" i="3"/>
  <c r="A114" i="3"/>
  <c r="B114" i="3"/>
  <c r="C114" i="3"/>
  <c r="A115" i="3"/>
  <c r="B115" i="3"/>
  <c r="C115" i="3"/>
  <c r="A116" i="3"/>
  <c r="B116" i="3"/>
  <c r="C116" i="3"/>
  <c r="A117" i="3"/>
  <c r="B117" i="3"/>
  <c r="C117" i="3"/>
  <c r="A118" i="3"/>
  <c r="B118" i="3"/>
  <c r="C118" i="3"/>
  <c r="A119" i="3"/>
  <c r="B119" i="3"/>
  <c r="C119" i="3"/>
  <c r="A120" i="3"/>
  <c r="B120" i="3"/>
  <c r="C120" i="3"/>
  <c r="A121" i="3"/>
  <c r="B121" i="3"/>
  <c r="C121" i="3"/>
  <c r="A122" i="3"/>
  <c r="B122" i="3"/>
  <c r="C122" i="3"/>
  <c r="A123" i="3"/>
  <c r="B123" i="3"/>
  <c r="C123" i="3"/>
  <c r="A124" i="3"/>
  <c r="B124" i="3"/>
  <c r="C124" i="3"/>
  <c r="A125" i="3"/>
  <c r="B125" i="3"/>
  <c r="C125" i="3"/>
  <c r="A126" i="3"/>
  <c r="B126" i="3"/>
  <c r="C126" i="3"/>
  <c r="A127" i="3"/>
  <c r="B127" i="3"/>
  <c r="C127" i="3"/>
  <c r="A128" i="3"/>
  <c r="B128" i="3"/>
  <c r="C128" i="3"/>
  <c r="A129" i="3"/>
  <c r="B129" i="3"/>
  <c r="C129" i="3"/>
  <c r="A130" i="3"/>
  <c r="B130" i="3"/>
  <c r="C130" i="3"/>
  <c r="A131" i="3"/>
  <c r="B131" i="3"/>
  <c r="C131" i="3"/>
  <c r="A132" i="3"/>
  <c r="B132" i="3"/>
  <c r="C132" i="3"/>
  <c r="A133" i="3"/>
  <c r="B133" i="3"/>
  <c r="C133" i="3"/>
  <c r="A134" i="3"/>
  <c r="B134" i="3"/>
  <c r="C134" i="3"/>
  <c r="A135" i="3"/>
  <c r="B135" i="3"/>
  <c r="C135" i="3"/>
  <c r="A136" i="3"/>
  <c r="B136" i="3"/>
  <c r="C136" i="3"/>
  <c r="A137" i="3"/>
  <c r="B137" i="3"/>
  <c r="C137" i="3"/>
  <c r="A138" i="3"/>
  <c r="B138" i="3"/>
  <c r="C138" i="3"/>
  <c r="A139" i="3"/>
  <c r="B139" i="3"/>
  <c r="C139" i="3"/>
  <c r="A140" i="3"/>
  <c r="B140" i="3"/>
  <c r="C140" i="3"/>
  <c r="A141" i="3"/>
  <c r="B141" i="3"/>
  <c r="C141" i="3"/>
  <c r="A142" i="3"/>
  <c r="B142" i="3"/>
  <c r="C142" i="3"/>
  <c r="A143" i="3"/>
  <c r="B143" i="3"/>
  <c r="C143" i="3"/>
  <c r="A144" i="3"/>
  <c r="B144" i="3"/>
  <c r="C144" i="3"/>
  <c r="A145" i="3"/>
  <c r="B145" i="3"/>
  <c r="C145" i="3"/>
  <c r="A146" i="3"/>
  <c r="B146" i="3"/>
  <c r="C146" i="3"/>
  <c r="A147" i="3"/>
  <c r="B147" i="3"/>
  <c r="C147" i="3"/>
  <c r="A148" i="3"/>
  <c r="B148" i="3"/>
  <c r="C148" i="3"/>
  <c r="A149" i="3"/>
  <c r="B149" i="3"/>
  <c r="C149" i="3"/>
  <c r="A150" i="3"/>
  <c r="B150" i="3"/>
  <c r="C150" i="3"/>
  <c r="A151" i="3"/>
  <c r="B151" i="3"/>
  <c r="C151" i="3"/>
  <c r="A152" i="3"/>
  <c r="B152" i="3"/>
  <c r="C152" i="3"/>
  <c r="A153" i="3"/>
  <c r="B153" i="3"/>
  <c r="C153" i="3"/>
  <c r="A154" i="3"/>
  <c r="B154" i="3"/>
  <c r="C154" i="3"/>
  <c r="A155" i="3"/>
  <c r="B155" i="3"/>
  <c r="C155" i="3"/>
  <c r="A156" i="3"/>
  <c r="B156" i="3"/>
  <c r="C156" i="3"/>
  <c r="A157" i="3"/>
  <c r="B157" i="3"/>
  <c r="C157" i="3"/>
  <c r="A158" i="3"/>
  <c r="B158" i="3"/>
  <c r="C158" i="3"/>
  <c r="A159" i="3"/>
  <c r="B159" i="3"/>
  <c r="C159" i="3"/>
  <c r="A160" i="3"/>
  <c r="B160" i="3"/>
  <c r="C160" i="3"/>
  <c r="A161" i="3"/>
  <c r="B161" i="3"/>
  <c r="C161" i="3"/>
  <c r="A162" i="3"/>
  <c r="B162" i="3"/>
  <c r="C162" i="3"/>
  <c r="A163" i="3"/>
  <c r="B163" i="3"/>
  <c r="C163" i="3"/>
  <c r="A164" i="3"/>
  <c r="B164" i="3"/>
  <c r="C164" i="3"/>
  <c r="A165" i="3"/>
  <c r="B165" i="3"/>
  <c r="C165" i="3"/>
  <c r="A166" i="3"/>
  <c r="B166" i="3"/>
  <c r="C166" i="3"/>
  <c r="A167" i="3"/>
  <c r="B167" i="3"/>
  <c r="C167" i="3"/>
  <c r="A168" i="3"/>
  <c r="B168" i="3"/>
  <c r="C168" i="3"/>
  <c r="A169" i="3"/>
  <c r="B169" i="3"/>
  <c r="C169" i="3"/>
  <c r="A170" i="3"/>
  <c r="B170" i="3"/>
  <c r="C170" i="3"/>
  <c r="A171" i="3"/>
  <c r="B171" i="3"/>
  <c r="C171" i="3"/>
  <c r="A172" i="3"/>
  <c r="B172" i="3"/>
  <c r="C172" i="3"/>
  <c r="A173" i="3"/>
  <c r="B173" i="3"/>
  <c r="C173" i="3"/>
  <c r="A174" i="3"/>
  <c r="B174" i="3"/>
  <c r="C174" i="3"/>
  <c r="A175" i="3"/>
  <c r="B175" i="3"/>
  <c r="C175" i="3"/>
  <c r="A176" i="3"/>
  <c r="B176" i="3"/>
  <c r="C176" i="3"/>
  <c r="A177" i="3"/>
  <c r="B177" i="3"/>
  <c r="C177" i="3"/>
  <c r="A178" i="3"/>
  <c r="B178" i="3"/>
  <c r="C178" i="3"/>
  <c r="A179" i="3"/>
  <c r="B179" i="3"/>
  <c r="C179" i="3"/>
  <c r="A180" i="3"/>
  <c r="B180" i="3"/>
  <c r="C180" i="3"/>
  <c r="A181" i="3"/>
  <c r="B181" i="3"/>
  <c r="C181" i="3"/>
  <c r="A182" i="3"/>
  <c r="B182" i="3"/>
  <c r="C182" i="3"/>
  <c r="A183" i="3"/>
  <c r="B183" i="3"/>
  <c r="C183" i="3"/>
  <c r="A184" i="3"/>
  <c r="B184" i="3"/>
  <c r="C184" i="3"/>
  <c r="A185" i="3"/>
  <c r="B185" i="3"/>
  <c r="C185" i="3"/>
  <c r="A186" i="3"/>
  <c r="B186" i="3"/>
  <c r="C186" i="3"/>
  <c r="A187" i="3"/>
  <c r="B187" i="3"/>
  <c r="C187" i="3"/>
  <c r="A188" i="3"/>
  <c r="B188" i="3"/>
  <c r="C188" i="3"/>
  <c r="A189" i="3"/>
  <c r="B189" i="3"/>
  <c r="C189" i="3"/>
  <c r="A190" i="3"/>
  <c r="B190" i="3"/>
  <c r="C190" i="3"/>
  <c r="A191" i="3"/>
  <c r="B191" i="3"/>
  <c r="C191" i="3"/>
  <c r="A192" i="3"/>
  <c r="B192" i="3"/>
  <c r="C192" i="3"/>
  <c r="A193" i="3"/>
  <c r="B193" i="3"/>
  <c r="C193" i="3"/>
  <c r="A194" i="3"/>
  <c r="B194" i="3"/>
  <c r="C194" i="3"/>
  <c r="A195" i="3"/>
  <c r="B195" i="3"/>
  <c r="C195" i="3"/>
  <c r="A196" i="3"/>
  <c r="B196" i="3"/>
  <c r="C196" i="3"/>
  <c r="A197" i="3"/>
  <c r="B197" i="3"/>
  <c r="C197" i="3"/>
  <c r="A198" i="3"/>
  <c r="B198" i="3"/>
  <c r="C198" i="3"/>
  <c r="A199" i="3"/>
  <c r="B199" i="3"/>
  <c r="C199" i="3"/>
  <c r="A200" i="3"/>
  <c r="B200" i="3"/>
  <c r="C200" i="3"/>
  <c r="A201" i="3"/>
  <c r="B201" i="3"/>
  <c r="C201" i="3"/>
  <c r="A202" i="3"/>
  <c r="B202" i="3"/>
  <c r="C202" i="3"/>
  <c r="A203" i="3"/>
  <c r="B203" i="3"/>
  <c r="C203" i="3"/>
  <c r="A204" i="3"/>
  <c r="B204" i="3"/>
  <c r="C204" i="3"/>
  <c r="A205" i="3"/>
  <c r="B205" i="3"/>
  <c r="C205" i="3"/>
  <c r="A206" i="3"/>
  <c r="B206" i="3"/>
  <c r="C206" i="3"/>
  <c r="A207" i="3"/>
  <c r="B207" i="3"/>
  <c r="C207" i="3"/>
  <c r="A208" i="3"/>
  <c r="B208" i="3"/>
  <c r="C208" i="3"/>
  <c r="A209" i="3"/>
  <c r="B209" i="3"/>
  <c r="C209" i="3"/>
  <c r="A210" i="3"/>
  <c r="B210" i="3"/>
  <c r="C210" i="3"/>
  <c r="A211" i="3"/>
  <c r="B211" i="3"/>
  <c r="C211" i="3"/>
  <c r="A212" i="3"/>
  <c r="B212" i="3"/>
  <c r="C212" i="3"/>
  <c r="A213" i="3"/>
  <c r="B213" i="3"/>
  <c r="C213" i="3"/>
  <c r="A214" i="3"/>
  <c r="B214" i="3"/>
  <c r="C214" i="3"/>
  <c r="A215" i="3"/>
  <c r="B215" i="3"/>
  <c r="C215" i="3"/>
  <c r="A216" i="3"/>
  <c r="B216" i="3"/>
  <c r="C216" i="3"/>
  <c r="A217" i="3"/>
  <c r="B217" i="3"/>
  <c r="C217" i="3"/>
  <c r="A218" i="3"/>
  <c r="B218" i="3"/>
  <c r="C218" i="3"/>
  <c r="A219" i="3"/>
  <c r="B219" i="3"/>
  <c r="C219" i="3"/>
  <c r="A220" i="3"/>
  <c r="B220" i="3"/>
  <c r="C220" i="3"/>
  <c r="A221" i="3"/>
  <c r="B221" i="3"/>
  <c r="C221" i="3"/>
  <c r="A222" i="3"/>
  <c r="B222" i="3"/>
  <c r="C222" i="3"/>
  <c r="A223" i="3"/>
  <c r="B223" i="3"/>
  <c r="C223" i="3"/>
  <c r="A224" i="3"/>
  <c r="B224" i="3"/>
  <c r="C224" i="3"/>
  <c r="A225" i="3"/>
  <c r="B225" i="3"/>
  <c r="C225" i="3"/>
  <c r="A226" i="3"/>
  <c r="B226" i="3"/>
  <c r="C226" i="3"/>
  <c r="A227" i="3"/>
  <c r="B227" i="3"/>
  <c r="C227" i="3"/>
  <c r="A228" i="3"/>
  <c r="B228" i="3"/>
  <c r="C228" i="3"/>
  <c r="A229" i="3"/>
  <c r="B229" i="3"/>
  <c r="C229" i="3"/>
  <c r="A230" i="3"/>
  <c r="B230" i="3"/>
  <c r="C230" i="3"/>
  <c r="A231" i="3"/>
  <c r="B231" i="3"/>
  <c r="C231" i="3"/>
  <c r="A232" i="3"/>
  <c r="B232" i="3"/>
  <c r="C232" i="3"/>
  <c r="A233" i="3"/>
  <c r="B233" i="3"/>
  <c r="C233" i="3"/>
  <c r="A234" i="3"/>
  <c r="B234" i="3"/>
  <c r="C234" i="3"/>
  <c r="A235" i="3"/>
  <c r="B235" i="3"/>
  <c r="C235" i="3"/>
  <c r="A236" i="3"/>
  <c r="B236" i="3"/>
  <c r="C236" i="3"/>
  <c r="A237" i="3"/>
  <c r="B237" i="3"/>
  <c r="C237" i="3"/>
  <c r="A238" i="3"/>
  <c r="B238" i="3"/>
  <c r="C238" i="3"/>
  <c r="A239" i="3"/>
  <c r="B239" i="3"/>
  <c r="C239" i="3"/>
  <c r="A240" i="3"/>
  <c r="B240" i="3"/>
  <c r="C240" i="3"/>
  <c r="A241" i="3"/>
  <c r="B241" i="3"/>
  <c r="C241" i="3"/>
  <c r="A242" i="3"/>
  <c r="B242" i="3"/>
  <c r="C242" i="3"/>
  <c r="A243" i="3"/>
  <c r="B243" i="3"/>
  <c r="C243" i="3"/>
  <c r="A244" i="3"/>
  <c r="B244" i="3"/>
  <c r="C244" i="3"/>
  <c r="A245" i="3"/>
  <c r="B245" i="3"/>
  <c r="C245" i="3"/>
  <c r="A246" i="3"/>
  <c r="B246" i="3"/>
  <c r="C246" i="3"/>
  <c r="A247" i="3"/>
  <c r="B247" i="3"/>
  <c r="C247" i="3"/>
  <c r="A248" i="3"/>
  <c r="B248" i="3"/>
  <c r="C248" i="3"/>
  <c r="A249" i="3"/>
  <c r="B249" i="3"/>
  <c r="C249" i="3"/>
  <c r="A250" i="3"/>
  <c r="B250" i="3"/>
  <c r="C250" i="3"/>
  <c r="A251" i="3"/>
  <c r="B251" i="3"/>
  <c r="C251" i="3"/>
  <c r="A252" i="3"/>
  <c r="B252" i="3"/>
  <c r="C252" i="3"/>
  <c r="A253" i="3"/>
  <c r="B253" i="3"/>
  <c r="C253" i="3"/>
  <c r="A254" i="3"/>
  <c r="B254" i="3"/>
  <c r="C254" i="3"/>
  <c r="A255" i="3"/>
  <c r="B255" i="3"/>
  <c r="C255" i="3"/>
  <c r="A256" i="3"/>
  <c r="B256" i="3"/>
  <c r="C256" i="3"/>
  <c r="A257" i="3"/>
  <c r="B257" i="3"/>
  <c r="C257" i="3"/>
  <c r="A258" i="3"/>
  <c r="B258" i="3"/>
  <c r="C258" i="3"/>
  <c r="A259" i="3"/>
  <c r="B259" i="3"/>
  <c r="C259" i="3"/>
  <c r="A260" i="3"/>
  <c r="B260" i="3"/>
  <c r="C260" i="3"/>
  <c r="A261" i="3"/>
  <c r="B261" i="3"/>
  <c r="C261" i="3"/>
  <c r="A262" i="3"/>
  <c r="B262" i="3"/>
  <c r="C262" i="3"/>
  <c r="A263" i="3"/>
  <c r="B263" i="3"/>
  <c r="C263" i="3"/>
  <c r="A264" i="3"/>
  <c r="B264" i="3"/>
  <c r="C264" i="3"/>
  <c r="A265" i="3"/>
  <c r="B265" i="3"/>
  <c r="C265" i="3"/>
  <c r="A266" i="3"/>
  <c r="B266" i="3"/>
  <c r="C266" i="3"/>
  <c r="A267" i="3"/>
  <c r="B267" i="3"/>
  <c r="C267" i="3"/>
  <c r="A268" i="3"/>
  <c r="B268" i="3"/>
  <c r="C268" i="3"/>
  <c r="A269" i="3"/>
  <c r="B269" i="3"/>
  <c r="C269" i="3"/>
  <c r="A270" i="3"/>
  <c r="B270" i="3"/>
  <c r="C270" i="3"/>
  <c r="A271" i="3"/>
  <c r="B271" i="3"/>
  <c r="C271" i="3"/>
  <c r="A272" i="3"/>
  <c r="B272" i="3"/>
  <c r="C272" i="3"/>
  <c r="A273" i="3"/>
  <c r="B273" i="3"/>
  <c r="C273" i="3"/>
  <c r="A274" i="3"/>
  <c r="B274" i="3"/>
  <c r="C274" i="3"/>
  <c r="A275" i="3"/>
  <c r="B275" i="3"/>
  <c r="C275" i="3"/>
  <c r="A276" i="3"/>
  <c r="B276" i="3"/>
  <c r="C276" i="3"/>
  <c r="A277" i="3"/>
  <c r="B277" i="3"/>
  <c r="C277" i="3"/>
  <c r="A278" i="3"/>
  <c r="B278" i="3"/>
  <c r="C278" i="3"/>
  <c r="A279" i="3"/>
  <c r="B279" i="3"/>
  <c r="C279" i="3"/>
  <c r="A280" i="3"/>
  <c r="B280" i="3"/>
  <c r="C280" i="3"/>
  <c r="A281" i="3"/>
  <c r="B281" i="3"/>
  <c r="C281" i="3"/>
  <c r="A282" i="3"/>
  <c r="B282" i="3"/>
  <c r="C282" i="3"/>
  <c r="A283" i="3"/>
  <c r="B283" i="3"/>
  <c r="C283" i="3"/>
  <c r="A284" i="3"/>
  <c r="B284" i="3"/>
  <c r="C284" i="3"/>
  <c r="A285" i="3"/>
  <c r="B285" i="3"/>
  <c r="C285" i="3"/>
  <c r="A286" i="3"/>
  <c r="B286" i="3"/>
  <c r="C286" i="3"/>
  <c r="A287" i="3"/>
  <c r="B287" i="3"/>
  <c r="C287" i="3"/>
  <c r="A288" i="3"/>
  <c r="B288" i="3"/>
  <c r="C288" i="3"/>
  <c r="A289" i="3"/>
  <c r="B289" i="3"/>
  <c r="C289" i="3"/>
  <c r="A290" i="3"/>
  <c r="B290" i="3"/>
  <c r="C290" i="3"/>
  <c r="A291" i="3"/>
  <c r="B291" i="3"/>
  <c r="C291" i="3"/>
  <c r="A292" i="3"/>
  <c r="B292" i="3"/>
  <c r="C292" i="3"/>
  <c r="A293" i="3"/>
  <c r="B293" i="3"/>
  <c r="C293" i="3"/>
  <c r="A294" i="3"/>
  <c r="B294" i="3"/>
  <c r="C294" i="3"/>
  <c r="A295" i="3"/>
  <c r="B295" i="3"/>
  <c r="C295" i="3"/>
  <c r="A296" i="3"/>
  <c r="B296" i="3"/>
  <c r="C296" i="3"/>
  <c r="A297" i="3"/>
  <c r="B297" i="3"/>
  <c r="C297" i="3"/>
  <c r="A298" i="3"/>
  <c r="B298" i="3"/>
  <c r="C298" i="3"/>
  <c r="A299" i="3"/>
  <c r="B299" i="3"/>
  <c r="C299" i="3"/>
  <c r="A300" i="3"/>
  <c r="B300" i="3"/>
  <c r="C300" i="3"/>
  <c r="A301" i="3"/>
  <c r="B301" i="3"/>
  <c r="C301" i="3"/>
  <c r="A302" i="3"/>
  <c r="B302" i="3"/>
  <c r="C302" i="3"/>
  <c r="A303" i="3"/>
  <c r="B303" i="3"/>
  <c r="C303" i="3"/>
  <c r="A304" i="3"/>
  <c r="B304" i="3"/>
  <c r="C304" i="3"/>
  <c r="A305" i="3"/>
  <c r="B305" i="3"/>
  <c r="C305" i="3"/>
  <c r="A306" i="3"/>
  <c r="B306" i="3"/>
  <c r="C306" i="3"/>
  <c r="A307" i="3"/>
  <c r="B307" i="3"/>
  <c r="C307" i="3"/>
  <c r="A308" i="3"/>
  <c r="B308" i="3"/>
  <c r="C308" i="3"/>
  <c r="A309" i="3"/>
  <c r="B309" i="3"/>
  <c r="C309" i="3"/>
  <c r="A310" i="3"/>
  <c r="B310" i="3"/>
  <c r="C310" i="3"/>
  <c r="A311" i="3"/>
  <c r="B311" i="3"/>
  <c r="C311" i="3"/>
  <c r="A312" i="3"/>
  <c r="B312" i="3"/>
  <c r="C312" i="3"/>
  <c r="A313" i="3"/>
  <c r="B313" i="3"/>
  <c r="C313" i="3"/>
  <c r="A314" i="3"/>
  <c r="B314" i="3"/>
  <c r="C314" i="3"/>
  <c r="A315" i="3"/>
  <c r="B315" i="3"/>
  <c r="C315" i="3"/>
  <c r="A316" i="3"/>
  <c r="B316" i="3"/>
  <c r="C316" i="3"/>
  <c r="A317" i="3"/>
  <c r="B317" i="3"/>
  <c r="C317" i="3"/>
  <c r="A318" i="3"/>
  <c r="B318" i="3"/>
  <c r="C318" i="3"/>
  <c r="A319" i="3"/>
  <c r="B319" i="3"/>
  <c r="C319" i="3"/>
  <c r="A320" i="3"/>
  <c r="B320" i="3"/>
  <c r="C320" i="3"/>
  <c r="A321" i="3"/>
  <c r="B321" i="3"/>
  <c r="C321" i="3"/>
  <c r="A322" i="3"/>
  <c r="B322" i="3"/>
  <c r="C322" i="3"/>
  <c r="A323" i="3"/>
  <c r="B323" i="3"/>
  <c r="C323" i="3"/>
  <c r="A324" i="3"/>
  <c r="B324" i="3"/>
  <c r="C324" i="3"/>
  <c r="A325" i="3"/>
  <c r="B325" i="3"/>
  <c r="C325" i="3"/>
  <c r="A326" i="3"/>
  <c r="B326" i="3"/>
  <c r="C326" i="3"/>
  <c r="A327" i="3"/>
  <c r="B327" i="3"/>
  <c r="C327" i="3"/>
  <c r="A328" i="3"/>
  <c r="B328" i="3"/>
  <c r="C328" i="3"/>
  <c r="A329" i="3"/>
  <c r="B329" i="3"/>
  <c r="C329" i="3"/>
  <c r="A330" i="3"/>
  <c r="B330" i="3"/>
  <c r="C330" i="3"/>
  <c r="A331" i="3"/>
  <c r="B331" i="3"/>
  <c r="C331" i="3"/>
  <c r="A332" i="3"/>
  <c r="B332" i="3"/>
  <c r="C332" i="3"/>
  <c r="A333" i="3"/>
  <c r="B333" i="3"/>
  <c r="C333" i="3"/>
  <c r="A334" i="3"/>
  <c r="B334" i="3"/>
  <c r="C334" i="3"/>
  <c r="A335" i="3"/>
  <c r="B335" i="3"/>
  <c r="C335" i="3"/>
  <c r="A336" i="3"/>
  <c r="B336" i="3"/>
  <c r="C336" i="3"/>
  <c r="A337" i="3"/>
  <c r="B337" i="3"/>
  <c r="C337" i="3"/>
  <c r="A338" i="3"/>
  <c r="B338" i="3"/>
  <c r="C338" i="3"/>
  <c r="A339" i="3"/>
  <c r="B339" i="3"/>
  <c r="C339" i="3"/>
  <c r="A340" i="3"/>
  <c r="B340" i="3"/>
  <c r="C340" i="3"/>
  <c r="A341" i="3"/>
  <c r="B341" i="3"/>
  <c r="C341" i="3"/>
  <c r="A342" i="3"/>
  <c r="B342" i="3"/>
  <c r="C342" i="3"/>
  <c r="A343" i="3"/>
  <c r="B343" i="3"/>
  <c r="C343" i="3"/>
  <c r="A344" i="3"/>
  <c r="B344" i="3"/>
  <c r="C344" i="3"/>
  <c r="A345" i="3"/>
  <c r="B345" i="3"/>
  <c r="C345" i="3"/>
  <c r="A346" i="3"/>
  <c r="B346" i="3"/>
  <c r="C346" i="3"/>
  <c r="A347" i="3"/>
  <c r="B347" i="3"/>
  <c r="C347" i="3"/>
  <c r="A348" i="3"/>
  <c r="B348" i="3"/>
  <c r="C348" i="3"/>
  <c r="A349" i="3"/>
  <c r="B349" i="3"/>
  <c r="C349" i="3"/>
  <c r="A350" i="3"/>
  <c r="B350" i="3"/>
  <c r="C350" i="3"/>
  <c r="A351" i="3"/>
  <c r="B351" i="3"/>
  <c r="C351" i="3"/>
  <c r="A352" i="3"/>
  <c r="B352" i="3"/>
  <c r="C352" i="3"/>
  <c r="A353" i="3"/>
  <c r="B353" i="3"/>
  <c r="C353" i="3"/>
  <c r="A354" i="3"/>
  <c r="B354" i="3"/>
  <c r="C354" i="3"/>
  <c r="A355" i="3"/>
  <c r="B355" i="3"/>
  <c r="C355" i="3"/>
  <c r="A356" i="3"/>
  <c r="B356" i="3"/>
  <c r="C356" i="3"/>
  <c r="A357" i="3"/>
  <c r="B357" i="3"/>
  <c r="C357" i="3"/>
  <c r="A358" i="3"/>
  <c r="B358" i="3"/>
  <c r="C358" i="3"/>
  <c r="A359" i="3"/>
  <c r="B359" i="3"/>
  <c r="C359" i="3"/>
  <c r="C1" i="3"/>
  <c r="B1" i="3"/>
  <c r="A1" i="3"/>
  <c r="A1" i="2"/>
  <c r="A345" i="2"/>
  <c r="B345" i="2"/>
  <c r="C345" i="2"/>
  <c r="A346" i="2"/>
  <c r="B346" i="2"/>
  <c r="C346" i="2"/>
  <c r="A347" i="2"/>
  <c r="B347" i="2"/>
  <c r="C347" i="2"/>
  <c r="A348" i="2"/>
  <c r="B348" i="2"/>
  <c r="C348" i="2"/>
  <c r="A349" i="2"/>
  <c r="B349" i="2"/>
  <c r="C349" i="2"/>
  <c r="A350" i="2"/>
  <c r="B350" i="2"/>
  <c r="C350" i="2"/>
  <c r="A351" i="2"/>
  <c r="B351" i="2"/>
  <c r="C351" i="2"/>
  <c r="A352" i="2"/>
  <c r="B352" i="2"/>
  <c r="C352" i="2"/>
  <c r="A353" i="2"/>
  <c r="B353" i="2"/>
  <c r="C353" i="2"/>
  <c r="A354" i="2"/>
  <c r="B354" i="2"/>
  <c r="C354" i="2"/>
  <c r="A355" i="2"/>
  <c r="B355" i="2"/>
  <c r="C355" i="2"/>
  <c r="A356" i="2"/>
  <c r="B356" i="2"/>
  <c r="C356" i="2"/>
  <c r="A357" i="2"/>
  <c r="B357" i="2"/>
  <c r="C357" i="2"/>
  <c r="A358" i="2"/>
  <c r="B358" i="2"/>
  <c r="C358" i="2"/>
  <c r="A359" i="2"/>
  <c r="B359" i="2"/>
  <c r="C359" i="2"/>
  <c r="A2" i="2"/>
  <c r="B2" i="2"/>
  <c r="C2" i="2"/>
  <c r="A3" i="2"/>
  <c r="B3" i="2"/>
  <c r="C3" i="2"/>
  <c r="A4" i="2"/>
  <c r="B4" i="2"/>
  <c r="C4" i="2"/>
  <c r="A5" i="2"/>
  <c r="B5" i="2"/>
  <c r="C5" i="2"/>
  <c r="A6" i="2"/>
  <c r="B6" i="2"/>
  <c r="C6" i="2"/>
  <c r="A7" i="2"/>
  <c r="B7" i="2"/>
  <c r="C7" i="2"/>
  <c r="A8" i="2"/>
  <c r="B8" i="2"/>
  <c r="C8" i="2"/>
  <c r="A9" i="2"/>
  <c r="B9" i="2"/>
  <c r="C9" i="2"/>
  <c r="A10" i="2"/>
  <c r="B10" i="2"/>
  <c r="C10" i="2"/>
  <c r="A11" i="2"/>
  <c r="B11" i="2"/>
  <c r="C11" i="2"/>
  <c r="A12" i="2"/>
  <c r="B12" i="2"/>
  <c r="C12" i="2"/>
  <c r="A13" i="2"/>
  <c r="B13" i="2"/>
  <c r="C13" i="2"/>
  <c r="A14" i="2"/>
  <c r="B14" i="2"/>
  <c r="C14" i="2"/>
  <c r="A15" i="2"/>
  <c r="B15" i="2"/>
  <c r="C15" i="2"/>
  <c r="A16" i="2"/>
  <c r="B16" i="2"/>
  <c r="C16" i="2"/>
  <c r="A17" i="2"/>
  <c r="B17" i="2"/>
  <c r="C17" i="2"/>
  <c r="A18" i="2"/>
  <c r="B18" i="2"/>
  <c r="C18" i="2"/>
  <c r="A19" i="2"/>
  <c r="B19" i="2"/>
  <c r="C19" i="2"/>
  <c r="A20" i="2"/>
  <c r="B20" i="2"/>
  <c r="C20" i="2"/>
  <c r="A21" i="2"/>
  <c r="B21" i="2"/>
  <c r="C21" i="2"/>
  <c r="A22" i="2"/>
  <c r="B22" i="2"/>
  <c r="C22" i="2"/>
  <c r="A23" i="2"/>
  <c r="B23" i="2"/>
  <c r="C23" i="2"/>
  <c r="A24" i="2"/>
  <c r="B24" i="2"/>
  <c r="C24" i="2"/>
  <c r="A25" i="2"/>
  <c r="B25" i="2"/>
  <c r="C25" i="2"/>
  <c r="A26" i="2"/>
  <c r="B26" i="2"/>
  <c r="C26" i="2"/>
  <c r="A27" i="2"/>
  <c r="B27" i="2"/>
  <c r="C27" i="2"/>
  <c r="A28" i="2"/>
  <c r="B28" i="2"/>
  <c r="C28" i="2"/>
  <c r="A29" i="2"/>
  <c r="B29" i="2"/>
  <c r="C29" i="2"/>
  <c r="A30" i="2"/>
  <c r="B30" i="2"/>
  <c r="C30" i="2"/>
  <c r="A31" i="2"/>
  <c r="B31" i="2"/>
  <c r="C31" i="2"/>
  <c r="A32" i="2"/>
  <c r="B32" i="2"/>
  <c r="C32" i="2"/>
  <c r="A33" i="2"/>
  <c r="B33" i="2"/>
  <c r="C33" i="2"/>
  <c r="A34" i="2"/>
  <c r="B34" i="2"/>
  <c r="C34" i="2"/>
  <c r="A35" i="2"/>
  <c r="B35" i="2"/>
  <c r="C35" i="2"/>
  <c r="A36" i="2"/>
  <c r="B36" i="2"/>
  <c r="C36" i="2"/>
  <c r="A37" i="2"/>
  <c r="B37" i="2"/>
  <c r="C37" i="2"/>
  <c r="A38" i="2"/>
  <c r="B38" i="2"/>
  <c r="C38" i="2"/>
  <c r="A39" i="2"/>
  <c r="B39" i="2"/>
  <c r="C39" i="2"/>
  <c r="A40" i="2"/>
  <c r="B40" i="2"/>
  <c r="C40" i="2"/>
  <c r="A41" i="2"/>
  <c r="B41" i="2"/>
  <c r="C41" i="2"/>
  <c r="A42" i="2"/>
  <c r="B42" i="2"/>
  <c r="C42" i="2"/>
  <c r="A43" i="2"/>
  <c r="B43" i="2"/>
  <c r="C43" i="2"/>
  <c r="A44" i="2"/>
  <c r="B44" i="2"/>
  <c r="C44" i="2"/>
  <c r="A45" i="2"/>
  <c r="B45" i="2"/>
  <c r="C45" i="2"/>
  <c r="A46" i="2"/>
  <c r="B46" i="2"/>
  <c r="C46" i="2"/>
  <c r="A47" i="2"/>
  <c r="B47" i="2"/>
  <c r="C47" i="2"/>
  <c r="A48" i="2"/>
  <c r="B48" i="2"/>
  <c r="C48" i="2"/>
  <c r="A49" i="2"/>
  <c r="B49" i="2"/>
  <c r="C49" i="2"/>
  <c r="A50" i="2"/>
  <c r="B50" i="2"/>
  <c r="C50" i="2"/>
  <c r="A51" i="2"/>
  <c r="B51" i="2"/>
  <c r="C51" i="2"/>
  <c r="A52" i="2"/>
  <c r="B52" i="2"/>
  <c r="C52" i="2"/>
  <c r="A53" i="2"/>
  <c r="B53" i="2"/>
  <c r="C53" i="2"/>
  <c r="A54" i="2"/>
  <c r="B54" i="2"/>
  <c r="C54" i="2"/>
  <c r="A55" i="2"/>
  <c r="B55" i="2"/>
  <c r="C55" i="2"/>
  <c r="A56" i="2"/>
  <c r="B56" i="2"/>
  <c r="C56" i="2"/>
  <c r="A57" i="2"/>
  <c r="B57" i="2"/>
  <c r="C57" i="2"/>
  <c r="A58" i="2"/>
  <c r="B58" i="2"/>
  <c r="C58" i="2"/>
  <c r="A59" i="2"/>
  <c r="B59" i="2"/>
  <c r="C59" i="2"/>
  <c r="A60" i="2"/>
  <c r="B60" i="2"/>
  <c r="C60" i="2"/>
  <c r="A61" i="2"/>
  <c r="B61" i="2"/>
  <c r="C61" i="2"/>
  <c r="A62" i="2"/>
  <c r="B62" i="2"/>
  <c r="C62" i="2"/>
  <c r="A63" i="2"/>
  <c r="B63" i="2"/>
  <c r="C63" i="2"/>
  <c r="A64" i="2"/>
  <c r="B64" i="2"/>
  <c r="C64" i="2"/>
  <c r="A65" i="2"/>
  <c r="B65" i="2"/>
  <c r="C65" i="2"/>
  <c r="A66" i="2"/>
  <c r="B66" i="2"/>
  <c r="C66" i="2"/>
  <c r="A67" i="2"/>
  <c r="B67" i="2"/>
  <c r="C67" i="2"/>
  <c r="A68" i="2"/>
  <c r="B68" i="2"/>
  <c r="C68" i="2"/>
  <c r="A69" i="2"/>
  <c r="B69" i="2"/>
  <c r="C69" i="2"/>
  <c r="A70" i="2"/>
  <c r="B70" i="2"/>
  <c r="C70" i="2"/>
  <c r="A71" i="2"/>
  <c r="B71" i="2"/>
  <c r="C71" i="2"/>
  <c r="A72" i="2"/>
  <c r="B72" i="2"/>
  <c r="C72" i="2"/>
  <c r="A73" i="2"/>
  <c r="B73" i="2"/>
  <c r="C73" i="2"/>
  <c r="A74" i="2"/>
  <c r="B74" i="2"/>
  <c r="C74" i="2"/>
  <c r="A75" i="2"/>
  <c r="B75" i="2"/>
  <c r="C75" i="2"/>
  <c r="A76" i="2"/>
  <c r="B76" i="2"/>
  <c r="C76" i="2"/>
  <c r="A77" i="2"/>
  <c r="B77" i="2"/>
  <c r="C77" i="2"/>
  <c r="A78" i="2"/>
  <c r="B78" i="2"/>
  <c r="C78" i="2"/>
  <c r="A79" i="2"/>
  <c r="B79" i="2"/>
  <c r="C79" i="2"/>
  <c r="A80" i="2"/>
  <c r="B80" i="2"/>
  <c r="C80" i="2"/>
  <c r="A81" i="2"/>
  <c r="B81" i="2"/>
  <c r="C81" i="2"/>
  <c r="A82" i="2"/>
  <c r="B82" i="2"/>
  <c r="C82" i="2"/>
  <c r="A83" i="2"/>
  <c r="B83" i="2"/>
  <c r="C83" i="2"/>
  <c r="A84" i="2"/>
  <c r="B84" i="2"/>
  <c r="C84" i="2"/>
  <c r="A85" i="2"/>
  <c r="B85" i="2"/>
  <c r="C85" i="2"/>
  <c r="A86" i="2"/>
  <c r="B86" i="2"/>
  <c r="C86" i="2"/>
  <c r="A87" i="2"/>
  <c r="B87" i="2"/>
  <c r="C87" i="2"/>
  <c r="A88" i="2"/>
  <c r="B88" i="2"/>
  <c r="C88" i="2"/>
  <c r="A89" i="2"/>
  <c r="B89" i="2"/>
  <c r="C89" i="2"/>
  <c r="A90" i="2"/>
  <c r="B90" i="2"/>
  <c r="C90" i="2"/>
  <c r="A91" i="2"/>
  <c r="B91" i="2"/>
  <c r="C91" i="2"/>
  <c r="A92" i="2"/>
  <c r="B92" i="2"/>
  <c r="C92" i="2"/>
  <c r="A93" i="2"/>
  <c r="B93" i="2"/>
  <c r="C93" i="2"/>
  <c r="A94" i="2"/>
  <c r="B94" i="2"/>
  <c r="C94" i="2"/>
  <c r="A95" i="2"/>
  <c r="B95" i="2"/>
  <c r="C95" i="2"/>
  <c r="A96" i="2"/>
  <c r="B96" i="2"/>
  <c r="C96" i="2"/>
  <c r="A97" i="2"/>
  <c r="B97" i="2"/>
  <c r="C97" i="2"/>
  <c r="A98" i="2"/>
  <c r="B98" i="2"/>
  <c r="C98" i="2"/>
  <c r="A99" i="2"/>
  <c r="B99" i="2"/>
  <c r="C99" i="2"/>
  <c r="A100" i="2"/>
  <c r="B100" i="2"/>
  <c r="C100" i="2"/>
  <c r="A101" i="2"/>
  <c r="B101" i="2"/>
  <c r="C101" i="2"/>
  <c r="A102" i="2"/>
  <c r="B102" i="2"/>
  <c r="C102" i="2"/>
  <c r="A103" i="2"/>
  <c r="B103" i="2"/>
  <c r="C103" i="2"/>
  <c r="A104" i="2"/>
  <c r="B104" i="2"/>
  <c r="C104" i="2"/>
  <c r="A105" i="2"/>
  <c r="B105" i="2"/>
  <c r="C105" i="2"/>
  <c r="A106" i="2"/>
  <c r="B106" i="2"/>
  <c r="C106" i="2"/>
  <c r="A107" i="2"/>
  <c r="B107" i="2"/>
  <c r="C107" i="2"/>
  <c r="A108" i="2"/>
  <c r="B108" i="2"/>
  <c r="C108" i="2"/>
  <c r="A109" i="2"/>
  <c r="B109" i="2"/>
  <c r="C109" i="2"/>
  <c r="A110" i="2"/>
  <c r="B110" i="2"/>
  <c r="C110" i="2"/>
  <c r="A111" i="2"/>
  <c r="B111" i="2"/>
  <c r="C111" i="2"/>
  <c r="A112" i="2"/>
  <c r="B112" i="2"/>
  <c r="C112" i="2"/>
  <c r="A113" i="2"/>
  <c r="B113" i="2"/>
  <c r="C113" i="2"/>
  <c r="A114" i="2"/>
  <c r="B114" i="2"/>
  <c r="C114" i="2"/>
  <c r="A115" i="2"/>
  <c r="B115" i="2"/>
  <c r="C115" i="2"/>
  <c r="A116" i="2"/>
  <c r="B116" i="2"/>
  <c r="C116" i="2"/>
  <c r="A117" i="2"/>
  <c r="B117" i="2"/>
  <c r="C117" i="2"/>
  <c r="A118" i="2"/>
  <c r="B118" i="2"/>
  <c r="C118" i="2"/>
  <c r="A119" i="2"/>
  <c r="B119" i="2"/>
  <c r="C119" i="2"/>
  <c r="A120" i="2"/>
  <c r="B120" i="2"/>
  <c r="C120" i="2"/>
  <c r="A121" i="2"/>
  <c r="B121" i="2"/>
  <c r="C121" i="2"/>
  <c r="A122" i="2"/>
  <c r="B122" i="2"/>
  <c r="C122" i="2"/>
  <c r="A123" i="2"/>
  <c r="B123" i="2"/>
  <c r="C123" i="2"/>
  <c r="A124" i="2"/>
  <c r="B124" i="2"/>
  <c r="C124" i="2"/>
  <c r="A125" i="2"/>
  <c r="B125" i="2"/>
  <c r="C125" i="2"/>
  <c r="A126" i="2"/>
  <c r="B126" i="2"/>
  <c r="C126" i="2"/>
  <c r="A127" i="2"/>
  <c r="B127" i="2"/>
  <c r="C127" i="2"/>
  <c r="A128" i="2"/>
  <c r="B128" i="2"/>
  <c r="C128" i="2"/>
  <c r="A129" i="2"/>
  <c r="B129" i="2"/>
  <c r="C129" i="2"/>
  <c r="A130" i="2"/>
  <c r="B130" i="2"/>
  <c r="C130" i="2"/>
  <c r="A131" i="2"/>
  <c r="B131" i="2"/>
  <c r="C131" i="2"/>
  <c r="A132" i="2"/>
  <c r="B132" i="2"/>
  <c r="C132" i="2"/>
  <c r="A133" i="2"/>
  <c r="B133" i="2"/>
  <c r="C133" i="2"/>
  <c r="A134" i="2"/>
  <c r="B134" i="2"/>
  <c r="C134" i="2"/>
  <c r="A135" i="2"/>
  <c r="B135" i="2"/>
  <c r="C135" i="2"/>
  <c r="A136" i="2"/>
  <c r="B136" i="2"/>
  <c r="C136" i="2"/>
  <c r="A137" i="2"/>
  <c r="B137" i="2"/>
  <c r="C137" i="2"/>
  <c r="A138" i="2"/>
  <c r="B138" i="2"/>
  <c r="C138" i="2"/>
  <c r="A139" i="2"/>
  <c r="B139" i="2"/>
  <c r="C139" i="2"/>
  <c r="A140" i="2"/>
  <c r="B140" i="2"/>
  <c r="C140" i="2"/>
  <c r="A141" i="2"/>
  <c r="B141" i="2"/>
  <c r="C141" i="2"/>
  <c r="A142" i="2"/>
  <c r="B142" i="2"/>
  <c r="C142" i="2"/>
  <c r="A143" i="2"/>
  <c r="B143" i="2"/>
  <c r="C143" i="2"/>
  <c r="A144" i="2"/>
  <c r="B144" i="2"/>
  <c r="C144" i="2"/>
  <c r="A145" i="2"/>
  <c r="B145" i="2"/>
  <c r="C145" i="2"/>
  <c r="A146" i="2"/>
  <c r="B146" i="2"/>
  <c r="C146" i="2"/>
  <c r="A147" i="2"/>
  <c r="B147" i="2"/>
  <c r="C147" i="2"/>
  <c r="A148" i="2"/>
  <c r="B148" i="2"/>
  <c r="C148" i="2"/>
  <c r="A149" i="2"/>
  <c r="B149" i="2"/>
  <c r="C149" i="2"/>
  <c r="A150" i="2"/>
  <c r="B150" i="2"/>
  <c r="C150" i="2"/>
  <c r="A151" i="2"/>
  <c r="B151" i="2"/>
  <c r="C151" i="2"/>
  <c r="A152" i="2"/>
  <c r="B152" i="2"/>
  <c r="C152" i="2"/>
  <c r="A153" i="2"/>
  <c r="B153" i="2"/>
  <c r="C153" i="2"/>
  <c r="A154" i="2"/>
  <c r="B154" i="2"/>
  <c r="C154" i="2"/>
  <c r="A155" i="2"/>
  <c r="B155" i="2"/>
  <c r="C155" i="2"/>
  <c r="A156" i="2"/>
  <c r="B156" i="2"/>
  <c r="C156" i="2"/>
  <c r="A157" i="2"/>
  <c r="B157" i="2"/>
  <c r="C157" i="2"/>
  <c r="A158" i="2"/>
  <c r="B158" i="2"/>
  <c r="C158" i="2"/>
  <c r="A159" i="2"/>
  <c r="B159" i="2"/>
  <c r="C159" i="2"/>
  <c r="A160" i="2"/>
  <c r="B160" i="2"/>
  <c r="C160" i="2"/>
  <c r="A161" i="2"/>
  <c r="B161" i="2"/>
  <c r="C161" i="2"/>
  <c r="A162" i="2"/>
  <c r="B162" i="2"/>
  <c r="C162" i="2"/>
  <c r="A163" i="2"/>
  <c r="B163" i="2"/>
  <c r="C163" i="2"/>
  <c r="A164" i="2"/>
  <c r="B164" i="2"/>
  <c r="C164" i="2"/>
  <c r="A165" i="2"/>
  <c r="B165" i="2"/>
  <c r="C165" i="2"/>
  <c r="A166" i="2"/>
  <c r="B166" i="2"/>
  <c r="C166" i="2"/>
  <c r="A167" i="2"/>
  <c r="B167" i="2"/>
  <c r="C167" i="2"/>
  <c r="A168" i="2"/>
  <c r="B168" i="2"/>
  <c r="C168" i="2"/>
  <c r="A169" i="2"/>
  <c r="B169" i="2"/>
  <c r="C169" i="2"/>
  <c r="A170" i="2"/>
  <c r="B170" i="2"/>
  <c r="C170" i="2"/>
  <c r="A171" i="2"/>
  <c r="B171" i="2"/>
  <c r="C171" i="2"/>
  <c r="A172" i="2"/>
  <c r="B172" i="2"/>
  <c r="C172" i="2"/>
  <c r="A173" i="2"/>
  <c r="B173" i="2"/>
  <c r="C173" i="2"/>
  <c r="A174" i="2"/>
  <c r="B174" i="2"/>
  <c r="C174" i="2"/>
  <c r="A175" i="2"/>
  <c r="B175" i="2"/>
  <c r="C175" i="2"/>
  <c r="A176" i="2"/>
  <c r="B176" i="2"/>
  <c r="C176" i="2"/>
  <c r="A177" i="2"/>
  <c r="B177" i="2"/>
  <c r="C177" i="2"/>
  <c r="A178" i="2"/>
  <c r="B178" i="2"/>
  <c r="C178" i="2"/>
  <c r="A179" i="2"/>
  <c r="B179" i="2"/>
  <c r="C179" i="2"/>
  <c r="A180" i="2"/>
  <c r="B180" i="2"/>
  <c r="C180" i="2"/>
  <c r="A181" i="2"/>
  <c r="B181" i="2"/>
  <c r="C181" i="2"/>
  <c r="A182" i="2"/>
  <c r="B182" i="2"/>
  <c r="C182" i="2"/>
  <c r="A183" i="2"/>
  <c r="B183" i="2"/>
  <c r="C183" i="2"/>
  <c r="A184" i="2"/>
  <c r="B184" i="2"/>
  <c r="C184" i="2"/>
  <c r="A185" i="2"/>
  <c r="B185" i="2"/>
  <c r="C185" i="2"/>
  <c r="A186" i="2"/>
  <c r="B186" i="2"/>
  <c r="C186" i="2"/>
  <c r="A187" i="2"/>
  <c r="B187" i="2"/>
  <c r="C187" i="2"/>
  <c r="A188" i="2"/>
  <c r="B188" i="2"/>
  <c r="C188" i="2"/>
  <c r="A189" i="2"/>
  <c r="B189" i="2"/>
  <c r="C189" i="2"/>
  <c r="A190" i="2"/>
  <c r="B190" i="2"/>
  <c r="C190" i="2"/>
  <c r="A191" i="2"/>
  <c r="B191" i="2"/>
  <c r="C191" i="2"/>
  <c r="A192" i="2"/>
  <c r="B192" i="2"/>
  <c r="C192" i="2"/>
  <c r="A193" i="2"/>
  <c r="B193" i="2"/>
  <c r="C193" i="2"/>
  <c r="A194" i="2"/>
  <c r="B194" i="2"/>
  <c r="C194" i="2"/>
  <c r="A195" i="2"/>
  <c r="B195" i="2"/>
  <c r="C195" i="2"/>
  <c r="A196" i="2"/>
  <c r="B196" i="2"/>
  <c r="C196" i="2"/>
  <c r="A197" i="2"/>
  <c r="B197" i="2"/>
  <c r="C197" i="2"/>
  <c r="A198" i="2"/>
  <c r="B198" i="2"/>
  <c r="C198" i="2"/>
  <c r="A199" i="2"/>
  <c r="B199" i="2"/>
  <c r="C199" i="2"/>
  <c r="A200" i="2"/>
  <c r="B200" i="2"/>
  <c r="C200" i="2"/>
  <c r="A201" i="2"/>
  <c r="B201" i="2"/>
  <c r="C201" i="2"/>
  <c r="A202" i="2"/>
  <c r="B202" i="2"/>
  <c r="C202" i="2"/>
  <c r="A203" i="2"/>
  <c r="B203" i="2"/>
  <c r="C203" i="2"/>
  <c r="A204" i="2"/>
  <c r="B204" i="2"/>
  <c r="C204" i="2"/>
  <c r="A205" i="2"/>
  <c r="B205" i="2"/>
  <c r="C205" i="2"/>
  <c r="A206" i="2"/>
  <c r="B206" i="2"/>
  <c r="C206" i="2"/>
  <c r="A207" i="2"/>
  <c r="B207" i="2"/>
  <c r="C207" i="2"/>
  <c r="A208" i="2"/>
  <c r="B208" i="2"/>
  <c r="C208" i="2"/>
  <c r="A209" i="2"/>
  <c r="B209" i="2"/>
  <c r="C209" i="2"/>
  <c r="A210" i="2"/>
  <c r="B210" i="2"/>
  <c r="C210" i="2"/>
  <c r="A211" i="2"/>
  <c r="B211" i="2"/>
  <c r="C211" i="2"/>
  <c r="A212" i="2"/>
  <c r="B212" i="2"/>
  <c r="C212" i="2"/>
  <c r="A213" i="2"/>
  <c r="B213" i="2"/>
  <c r="C213" i="2"/>
  <c r="A214" i="2"/>
  <c r="B214" i="2"/>
  <c r="C214" i="2"/>
  <c r="A215" i="2"/>
  <c r="B215" i="2"/>
  <c r="C215" i="2"/>
  <c r="A216" i="2"/>
  <c r="B216" i="2"/>
  <c r="C216" i="2"/>
  <c r="A217" i="2"/>
  <c r="B217" i="2"/>
  <c r="C217" i="2"/>
  <c r="A218" i="2"/>
  <c r="B218" i="2"/>
  <c r="C218" i="2"/>
  <c r="A219" i="2"/>
  <c r="B219" i="2"/>
  <c r="C219" i="2"/>
  <c r="A220" i="2"/>
  <c r="B220" i="2"/>
  <c r="C220" i="2"/>
  <c r="A221" i="2"/>
  <c r="B221" i="2"/>
  <c r="C221" i="2"/>
  <c r="A222" i="2"/>
  <c r="B222" i="2"/>
  <c r="C222" i="2"/>
  <c r="A223" i="2"/>
  <c r="B223" i="2"/>
  <c r="C223" i="2"/>
  <c r="A224" i="2"/>
  <c r="B224" i="2"/>
  <c r="C224" i="2"/>
  <c r="A225" i="2"/>
  <c r="B225" i="2"/>
  <c r="C225" i="2"/>
  <c r="A226" i="2"/>
  <c r="B226" i="2"/>
  <c r="C226" i="2"/>
  <c r="A227" i="2"/>
  <c r="B227" i="2"/>
  <c r="C227" i="2"/>
  <c r="A228" i="2"/>
  <c r="B228" i="2"/>
  <c r="C228" i="2"/>
  <c r="A229" i="2"/>
  <c r="B229" i="2"/>
  <c r="C229" i="2"/>
  <c r="A230" i="2"/>
  <c r="B230" i="2"/>
  <c r="C230" i="2"/>
  <c r="A231" i="2"/>
  <c r="B231" i="2"/>
  <c r="C231" i="2"/>
  <c r="A232" i="2"/>
  <c r="B232" i="2"/>
  <c r="C232" i="2"/>
  <c r="A233" i="2"/>
  <c r="B233" i="2"/>
  <c r="C233" i="2"/>
  <c r="A234" i="2"/>
  <c r="B234" i="2"/>
  <c r="C234" i="2"/>
  <c r="A235" i="2"/>
  <c r="B235" i="2"/>
  <c r="C235" i="2"/>
  <c r="A236" i="2"/>
  <c r="B236" i="2"/>
  <c r="C236" i="2"/>
  <c r="A237" i="2"/>
  <c r="B237" i="2"/>
  <c r="C237" i="2"/>
  <c r="A238" i="2"/>
  <c r="B238" i="2"/>
  <c r="C238" i="2"/>
  <c r="A239" i="2"/>
  <c r="B239" i="2"/>
  <c r="C239" i="2"/>
  <c r="A240" i="2"/>
  <c r="B240" i="2"/>
  <c r="C240" i="2"/>
  <c r="A241" i="2"/>
  <c r="B241" i="2"/>
  <c r="C241" i="2"/>
  <c r="A242" i="2"/>
  <c r="B242" i="2"/>
  <c r="C242" i="2"/>
  <c r="A243" i="2"/>
  <c r="B243" i="2"/>
  <c r="C243" i="2"/>
  <c r="A244" i="2"/>
  <c r="B244" i="2"/>
  <c r="C244" i="2"/>
  <c r="A245" i="2"/>
  <c r="B245" i="2"/>
  <c r="C245" i="2"/>
  <c r="A246" i="2"/>
  <c r="B246" i="2"/>
  <c r="C246" i="2"/>
  <c r="A247" i="2"/>
  <c r="B247" i="2"/>
  <c r="C247" i="2"/>
  <c r="A248" i="2"/>
  <c r="B248" i="2"/>
  <c r="C248" i="2"/>
  <c r="A249" i="2"/>
  <c r="B249" i="2"/>
  <c r="C249" i="2"/>
  <c r="A250" i="2"/>
  <c r="B250" i="2"/>
  <c r="C250" i="2"/>
  <c r="A251" i="2"/>
  <c r="B251" i="2"/>
  <c r="C251" i="2"/>
  <c r="A252" i="2"/>
  <c r="B252" i="2"/>
  <c r="C252" i="2"/>
  <c r="A253" i="2"/>
  <c r="B253" i="2"/>
  <c r="C253" i="2"/>
  <c r="A254" i="2"/>
  <c r="B254" i="2"/>
  <c r="C254" i="2"/>
  <c r="A255" i="2"/>
  <c r="B255" i="2"/>
  <c r="C255" i="2"/>
  <c r="A256" i="2"/>
  <c r="B256" i="2"/>
  <c r="C256" i="2"/>
  <c r="A257" i="2"/>
  <c r="B257" i="2"/>
  <c r="C257" i="2"/>
  <c r="A258" i="2"/>
  <c r="B258" i="2"/>
  <c r="C258" i="2"/>
  <c r="A259" i="2"/>
  <c r="B259" i="2"/>
  <c r="C259" i="2"/>
  <c r="A260" i="2"/>
  <c r="B260" i="2"/>
  <c r="C260" i="2"/>
  <c r="A261" i="2"/>
  <c r="B261" i="2"/>
  <c r="C261" i="2"/>
  <c r="A262" i="2"/>
  <c r="B262" i="2"/>
  <c r="C262" i="2"/>
  <c r="A263" i="2"/>
  <c r="B263" i="2"/>
  <c r="C263" i="2"/>
  <c r="A264" i="2"/>
  <c r="B264" i="2"/>
  <c r="C264" i="2"/>
  <c r="A265" i="2"/>
  <c r="B265" i="2"/>
  <c r="C265" i="2"/>
  <c r="A266" i="2"/>
  <c r="B266" i="2"/>
  <c r="C266" i="2"/>
  <c r="A267" i="2"/>
  <c r="B267" i="2"/>
  <c r="C267" i="2"/>
  <c r="A268" i="2"/>
  <c r="B268" i="2"/>
  <c r="C268" i="2"/>
  <c r="A269" i="2"/>
  <c r="B269" i="2"/>
  <c r="C269" i="2"/>
  <c r="A270" i="2"/>
  <c r="B270" i="2"/>
  <c r="C270" i="2"/>
  <c r="A271" i="2"/>
  <c r="B271" i="2"/>
  <c r="C271" i="2"/>
  <c r="A272" i="2"/>
  <c r="B272" i="2"/>
  <c r="C272" i="2"/>
  <c r="A273" i="2"/>
  <c r="B273" i="2"/>
  <c r="C273" i="2"/>
  <c r="A274" i="2"/>
  <c r="B274" i="2"/>
  <c r="C274" i="2"/>
  <c r="A275" i="2"/>
  <c r="B275" i="2"/>
  <c r="C275" i="2"/>
  <c r="A276" i="2"/>
  <c r="B276" i="2"/>
  <c r="C276" i="2"/>
  <c r="A277" i="2"/>
  <c r="B277" i="2"/>
  <c r="C277" i="2"/>
  <c r="A278" i="2"/>
  <c r="B278" i="2"/>
  <c r="C278" i="2"/>
  <c r="A279" i="2"/>
  <c r="B279" i="2"/>
  <c r="C279" i="2"/>
  <c r="A280" i="2"/>
  <c r="B280" i="2"/>
  <c r="C280" i="2"/>
  <c r="A281" i="2"/>
  <c r="B281" i="2"/>
  <c r="C281" i="2"/>
  <c r="A282" i="2"/>
  <c r="B282" i="2"/>
  <c r="C282" i="2"/>
  <c r="A283" i="2"/>
  <c r="B283" i="2"/>
  <c r="C283" i="2"/>
  <c r="A284" i="2"/>
  <c r="B284" i="2"/>
  <c r="C284" i="2"/>
  <c r="A285" i="2"/>
  <c r="B285" i="2"/>
  <c r="C285" i="2"/>
  <c r="A286" i="2"/>
  <c r="B286" i="2"/>
  <c r="C286" i="2"/>
  <c r="A287" i="2"/>
  <c r="B287" i="2"/>
  <c r="C287" i="2"/>
  <c r="A288" i="2"/>
  <c r="B288" i="2"/>
  <c r="C288" i="2"/>
  <c r="A289" i="2"/>
  <c r="B289" i="2"/>
  <c r="C289" i="2"/>
  <c r="A290" i="2"/>
  <c r="B290" i="2"/>
  <c r="C290" i="2"/>
  <c r="A291" i="2"/>
  <c r="B291" i="2"/>
  <c r="C291" i="2"/>
  <c r="A292" i="2"/>
  <c r="B292" i="2"/>
  <c r="C292" i="2"/>
  <c r="A293" i="2"/>
  <c r="B293" i="2"/>
  <c r="C293" i="2"/>
  <c r="A294" i="2"/>
  <c r="B294" i="2"/>
  <c r="C294" i="2"/>
  <c r="A295" i="2"/>
  <c r="B295" i="2"/>
  <c r="C295" i="2"/>
  <c r="A296" i="2"/>
  <c r="B296" i="2"/>
  <c r="C296" i="2"/>
  <c r="A297" i="2"/>
  <c r="B297" i="2"/>
  <c r="C297" i="2"/>
  <c r="A298" i="2"/>
  <c r="B298" i="2"/>
  <c r="C298" i="2"/>
  <c r="A299" i="2"/>
  <c r="B299" i="2"/>
  <c r="C299" i="2"/>
  <c r="A300" i="2"/>
  <c r="B300" i="2"/>
  <c r="C300" i="2"/>
  <c r="A301" i="2"/>
  <c r="B301" i="2"/>
  <c r="C301" i="2"/>
  <c r="A302" i="2"/>
  <c r="B302" i="2"/>
  <c r="C302" i="2"/>
  <c r="A303" i="2"/>
  <c r="B303" i="2"/>
  <c r="C303" i="2"/>
  <c r="A304" i="2"/>
  <c r="B304" i="2"/>
  <c r="C304" i="2"/>
  <c r="A305" i="2"/>
  <c r="B305" i="2"/>
  <c r="C305" i="2"/>
  <c r="A306" i="2"/>
  <c r="B306" i="2"/>
  <c r="C306" i="2"/>
  <c r="A307" i="2"/>
  <c r="B307" i="2"/>
  <c r="C307" i="2"/>
  <c r="A308" i="2"/>
  <c r="B308" i="2"/>
  <c r="C308" i="2"/>
  <c r="A309" i="2"/>
  <c r="B309" i="2"/>
  <c r="C309" i="2"/>
  <c r="A310" i="2"/>
  <c r="B310" i="2"/>
  <c r="C310" i="2"/>
  <c r="A311" i="2"/>
  <c r="B311" i="2"/>
  <c r="C311" i="2"/>
  <c r="A312" i="2"/>
  <c r="B312" i="2"/>
  <c r="C312" i="2"/>
  <c r="A313" i="2"/>
  <c r="B313" i="2"/>
  <c r="C313" i="2"/>
  <c r="A314" i="2"/>
  <c r="B314" i="2"/>
  <c r="C314" i="2"/>
  <c r="A315" i="2"/>
  <c r="B315" i="2"/>
  <c r="C315" i="2"/>
  <c r="A316" i="2"/>
  <c r="B316" i="2"/>
  <c r="C316" i="2"/>
  <c r="A317" i="2"/>
  <c r="B317" i="2"/>
  <c r="C317" i="2"/>
  <c r="A318" i="2"/>
  <c r="B318" i="2"/>
  <c r="C318" i="2"/>
  <c r="A319" i="2"/>
  <c r="B319" i="2"/>
  <c r="C319" i="2"/>
  <c r="A320" i="2"/>
  <c r="B320" i="2"/>
  <c r="C320" i="2"/>
  <c r="A321" i="2"/>
  <c r="B321" i="2"/>
  <c r="C321" i="2"/>
  <c r="A322" i="2"/>
  <c r="B322" i="2"/>
  <c r="C322" i="2"/>
  <c r="A323" i="2"/>
  <c r="B323" i="2"/>
  <c r="C323" i="2"/>
  <c r="A324" i="2"/>
  <c r="B324" i="2"/>
  <c r="C324" i="2"/>
  <c r="A325" i="2"/>
  <c r="B325" i="2"/>
  <c r="C325" i="2"/>
  <c r="A326" i="2"/>
  <c r="B326" i="2"/>
  <c r="C326" i="2"/>
  <c r="A327" i="2"/>
  <c r="B327" i="2"/>
  <c r="C327" i="2"/>
  <c r="A328" i="2"/>
  <c r="B328" i="2"/>
  <c r="C328" i="2"/>
  <c r="A329" i="2"/>
  <c r="B329" i="2"/>
  <c r="C329" i="2"/>
  <c r="A330" i="2"/>
  <c r="B330" i="2"/>
  <c r="C330" i="2"/>
  <c r="A331" i="2"/>
  <c r="B331" i="2"/>
  <c r="C331" i="2"/>
  <c r="A332" i="2"/>
  <c r="B332" i="2"/>
  <c r="C332" i="2"/>
  <c r="A333" i="2"/>
  <c r="B333" i="2"/>
  <c r="C333" i="2"/>
  <c r="A334" i="2"/>
  <c r="B334" i="2"/>
  <c r="C334" i="2"/>
  <c r="A335" i="2"/>
  <c r="B335" i="2"/>
  <c r="C335" i="2"/>
  <c r="A336" i="2"/>
  <c r="B336" i="2"/>
  <c r="C336" i="2"/>
  <c r="A337" i="2"/>
  <c r="B337" i="2"/>
  <c r="C337" i="2"/>
  <c r="A338" i="2"/>
  <c r="B338" i="2"/>
  <c r="C338" i="2"/>
  <c r="A339" i="2"/>
  <c r="B339" i="2"/>
  <c r="C339" i="2"/>
  <c r="A340" i="2"/>
  <c r="B340" i="2"/>
  <c r="C340" i="2"/>
  <c r="A341" i="2"/>
  <c r="B341" i="2"/>
  <c r="C341" i="2"/>
  <c r="A342" i="2"/>
  <c r="B342" i="2"/>
  <c r="C342" i="2"/>
  <c r="A343" i="2"/>
  <c r="B343" i="2"/>
  <c r="C343" i="2"/>
  <c r="A344" i="2"/>
  <c r="B344" i="2"/>
  <c r="C344" i="2"/>
  <c r="C1" i="2"/>
  <c r="B1" i="2"/>
</calcChain>
</file>

<file path=xl/sharedStrings.xml><?xml version="1.0" encoding="utf-8"?>
<sst xmlns="http://schemas.openxmlformats.org/spreadsheetml/2006/main" count="4643" uniqueCount="1906">
  <si>
    <t>EPITOPE</t>
  </si>
  <si>
    <t>EPITOPE_CLEAN</t>
  </si>
  <si>
    <t>PROTEIN</t>
  </si>
  <si>
    <t>HXB2 START</t>
  </si>
  <si>
    <t>HXB2 END</t>
  </si>
  <si>
    <t>SUBPROTEIN</t>
  </si>
  <si>
    <t>HXB2 DNA CONTIG</t>
  </si>
  <si>
    <t>SUBTYPE</t>
  </si>
  <si>
    <t>SPECIES</t>
  </si>
  <si>
    <t>HLA</t>
  </si>
  <si>
    <t>HLA_EPITOPE</t>
  </si>
  <si>
    <t>ORIGINAL_NAME</t>
  </si>
  <si>
    <t>Note</t>
  </si>
  <si>
    <t>NEW_EPITOPE</t>
  </si>
  <si>
    <t>REF_EPITOPE</t>
  </si>
  <si>
    <t>DIST_CLEAN_NEW</t>
  </si>
  <si>
    <t>DIST_CLEAN_REF</t>
  </si>
  <si>
    <t>DIST_REF_NEW</t>
  </si>
  <si>
    <t>MATCH (REF&amp;CLEAN)</t>
  </si>
  <si>
    <t>AAFDLSFFL</t>
  </si>
  <si>
    <t>Nef</t>
  </si>
  <si>
    <t>9043..9069</t>
  </si>
  <si>
    <t>human</t>
  </si>
  <si>
    <t>B*5703</t>
  </si>
  <si>
    <t>B5703_Nef_AL9</t>
  </si>
  <si>
    <t>B57_Nef_AL9</t>
  </si>
  <si>
    <t>FINE</t>
  </si>
  <si>
    <t>AALDLSHFL</t>
  </si>
  <si>
    <t>AAVDLSHFL</t>
  </si>
  <si>
    <t>Cw3_Nef_AL9</t>
  </si>
  <si>
    <t>original name should change to Cw3_Nef_ AL9</t>
  </si>
  <si>
    <t>B</t>
  </si>
  <si>
    <t>Cw*0802</t>
  </si>
  <si>
    <t>Cw0802_Nef_AL9</t>
  </si>
  <si>
    <t>Cw03_Nef_AL9</t>
  </si>
  <si>
    <t>original &amp; HLA name should change to Cw08_Nef_ AL9</t>
  </si>
  <si>
    <t>ACQGVGGPGHK</t>
  </si>
  <si>
    <t>Gag</t>
  </si>
  <si>
    <t>p24(217-227)</t>
  </si>
  <si>
    <t>1834..1866</t>
  </si>
  <si>
    <t>A*1101</t>
  </si>
  <si>
    <t>A1101_Gag_AK11</t>
  </si>
  <si>
    <t>A11_Gag_AK11</t>
  </si>
  <si>
    <t>AEAMSQVTNS</t>
  </si>
  <si>
    <t>p2p7p1p6(1-10)</t>
  </si>
  <si>
    <t>1879..1908</t>
  </si>
  <si>
    <t>B*4501</t>
  </si>
  <si>
    <t>B4501_Gag_AS10</t>
  </si>
  <si>
    <t>B45_Gag_AS10</t>
  </si>
  <si>
    <t>AENLWVTVY</t>
  </si>
  <si>
    <t>gp160</t>
  </si>
  <si>
    <t>gp120(31-39)</t>
  </si>
  <si>
    <t>6315..6341</t>
  </si>
  <si>
    <t>B1801_gp160_AY9</t>
  </si>
  <si>
    <t>B18_gp160_AY9</t>
  </si>
  <si>
    <t>AEKLWVTVY</t>
  </si>
  <si>
    <t>TEKLWVTVY</t>
  </si>
  <si>
    <t>AENLWVTVYY</t>
  </si>
  <si>
    <t>gp120(31-40)</t>
  </si>
  <si>
    <t>6315..6344</t>
  </si>
  <si>
    <t>B*4402</t>
  </si>
  <si>
    <t>B4402_gp160_AY10</t>
  </si>
  <si>
    <t>B44_gp160_AY10</t>
  </si>
  <si>
    <t>AEKLWVTVYY</t>
  </si>
  <si>
    <t>TEKLWVTVYY</t>
  </si>
  <si>
    <t>AEQASQDVKNW</t>
  </si>
  <si>
    <t>p24(174-184)</t>
  </si>
  <si>
    <t>1705..1737</t>
  </si>
  <si>
    <t>B4402_Gag_AW11</t>
  </si>
  <si>
    <t>B44_Gag_AW11</t>
  </si>
  <si>
    <t>AEQASQEVKNW</t>
  </si>
  <si>
    <t>AEQASQEVKNWM</t>
  </si>
  <si>
    <t>p24(174-185)</t>
  </si>
  <si>
    <t>1705..1740</t>
  </si>
  <si>
    <t>Cw5_Gag_AM12</t>
  </si>
  <si>
    <t>original name should change to Cw5_Gag_AM12</t>
  </si>
  <si>
    <t>AEWDRVHPV</t>
  </si>
  <si>
    <t>p24(78-86)</t>
  </si>
  <si>
    <t>1417..1443</t>
  </si>
  <si>
    <t>B*4002</t>
  </si>
  <si>
    <t>B4002_Gag_AV9</t>
  </si>
  <si>
    <t>original name should be B40_Gag_AV9</t>
  </si>
  <si>
    <t>AEWDRLHPV</t>
  </si>
  <si>
    <t>AIFQSSMTK</t>
  </si>
  <si>
    <t>Pol</t>
  </si>
  <si>
    <t>RT(158-166)</t>
  </si>
  <si>
    <t>3021..3047</t>
  </si>
  <si>
    <t>A*0301, A*1101</t>
  </si>
  <si>
    <t>A0301_Pol_AK9</t>
  </si>
  <si>
    <t>A03_Pol_ATK9</t>
  </si>
  <si>
    <t>original name should change to A03_Pol_AK9</t>
  </si>
  <si>
    <t>AIIRILQQL</t>
  </si>
  <si>
    <t>Vpr</t>
  </si>
  <si>
    <t>5733..5759</t>
  </si>
  <si>
    <t>A*0201</t>
  </si>
  <si>
    <t>A0201_Vpr_AL9</t>
  </si>
  <si>
    <t>A02_Vpr_AL9</t>
  </si>
  <si>
    <t>original name should change to A02_Vpr_AL9</t>
  </si>
  <si>
    <t>ALVEICTEM</t>
  </si>
  <si>
    <t>RT(33-41)</t>
  </si>
  <si>
    <t>2646..2672</t>
  </si>
  <si>
    <t>A0201_Pol_AM9</t>
  </si>
  <si>
    <t>A02_Pol_AM9</t>
  </si>
  <si>
    <t>original name should be A02_Pol_AM9</t>
  </si>
  <si>
    <t>ALVEICTEMEK</t>
  </si>
  <si>
    <t>RT(33-43)</t>
  </si>
  <si>
    <t>2646..2678</t>
  </si>
  <si>
    <t>A*0301</t>
  </si>
  <si>
    <t>A0301_Pol_AK11</t>
  </si>
  <si>
    <t>A03_Pol_AK11</t>
  </si>
  <si>
    <t>original name should be A03_Pol_AK11</t>
  </si>
  <si>
    <t>AVDLSHFLK</t>
  </si>
  <si>
    <t>9046..9072</t>
  </si>
  <si>
    <t>A0301_Nef_AK9</t>
  </si>
  <si>
    <t>A03_Nef_ALK9</t>
  </si>
  <si>
    <t>original name should be A03_Nef_AK9</t>
  </si>
  <si>
    <t>ALDLSHFLK</t>
  </si>
  <si>
    <t>AVFIHNFKRK</t>
  </si>
  <si>
    <t>Integrase(179-188)</t>
  </si>
  <si>
    <t>4764..4793</t>
  </si>
  <si>
    <t>A0301_Pol_AK10</t>
  </si>
  <si>
    <t>A03_Pol_AK10</t>
  </si>
  <si>
    <t>AVRHFPRIW</t>
  </si>
  <si>
    <t>5646..5672</t>
  </si>
  <si>
    <t>B*5701</t>
  </si>
  <si>
    <t>B5701_Vpr_AW9</t>
  </si>
  <si>
    <t>B57_Vpr_AW9</t>
  </si>
  <si>
    <t>CAPAGFAIL</t>
  </si>
  <si>
    <t>gp120(218-226)</t>
  </si>
  <si>
    <t>6876..6902</t>
  </si>
  <si>
    <t>Cw1_gp160_CL9</t>
  </si>
  <si>
    <t>original name should be Cw1_gp160_CL9</t>
  </si>
  <si>
    <t>CCFHCQVC</t>
  </si>
  <si>
    <t>Tat</t>
  </si>
  <si>
    <t>5918..5941</t>
  </si>
  <si>
    <t>Cw12_Tat_CC8</t>
  </si>
  <si>
    <t>original name should be Cw12_Tat_CC8</t>
  </si>
  <si>
    <t>CRAPRKKGC</t>
  </si>
  <si>
    <t>p2p7p1p6(42-50)</t>
  </si>
  <si>
    <t>2002..2028</t>
  </si>
  <si>
    <t>B14_Gag_CC9</t>
  </si>
  <si>
    <t>original name should be B14_Gag_CC9</t>
  </si>
  <si>
    <t>DCKTILKAL</t>
  </si>
  <si>
    <t>p24(197-205)</t>
  </si>
  <si>
    <t>1774..1800</t>
  </si>
  <si>
    <t>B*0801</t>
  </si>
  <si>
    <t>B0801_Gag_DL9</t>
  </si>
  <si>
    <t>B08_Gag_DL9</t>
  </si>
  <si>
    <t>original name should be B08_Gag_DL9</t>
  </si>
  <si>
    <t>DPNPQEVVL</t>
  </si>
  <si>
    <t>gp120(78-86)</t>
  </si>
  <si>
    <t>6456..6482</t>
  </si>
  <si>
    <t>B*3501</t>
  </si>
  <si>
    <t>B3501_gp160_DL9</t>
  </si>
  <si>
    <t>B35_gp160_DL9</t>
  </si>
  <si>
    <t>original name should be B35_gp160_DL9</t>
  </si>
  <si>
    <t>DRFYKTLRA</t>
  </si>
  <si>
    <t>p24(166-174)</t>
  </si>
  <si>
    <t>1681..1707</t>
  </si>
  <si>
    <t>B1402_Gag_DA9</t>
  </si>
  <si>
    <t>B14_Gag_DA9</t>
  </si>
  <si>
    <t>original name should be B14_Gag_DA9</t>
  </si>
  <si>
    <t>DTVLEEWNL</t>
  </si>
  <si>
    <t>Protease(30-38)</t>
  </si>
  <si>
    <t>2340..2366</t>
  </si>
  <si>
    <t>D</t>
  </si>
  <si>
    <t>A*6802</t>
  </si>
  <si>
    <t>A6802_Pol_DL9</t>
  </si>
  <si>
    <t>original name should be A68_Pol_DL9</t>
  </si>
  <si>
    <t>DTVLEEMNL</t>
  </si>
  <si>
    <t>DTVLEEMSL</t>
  </si>
  <si>
    <t>DTWAGVEAIIR</t>
  </si>
  <si>
    <t>5712..5744</t>
  </si>
  <si>
    <t>A*6801</t>
  </si>
  <si>
    <t>A6801_Vpr_DR11</t>
  </si>
  <si>
    <t>original name should be A68_Vpr_DR11</t>
  </si>
  <si>
    <t>EAVRHFPRI</t>
  </si>
  <si>
    <t>5643..5669</t>
  </si>
  <si>
    <t>B51_Vpr_EI9</t>
  </si>
  <si>
    <t>original name should be B51_Vpr_EI9</t>
  </si>
  <si>
    <t>EEKAFSPEV</t>
  </si>
  <si>
    <t>p24(28-36)</t>
  </si>
  <si>
    <t>1267..1293</t>
  </si>
  <si>
    <t>B*4415</t>
  </si>
  <si>
    <t>B4415_Gag_EV9</t>
  </si>
  <si>
    <t>B44_Gag_EV9</t>
  </si>
  <si>
    <t>original name should be B44_Gag_EV9</t>
  </si>
  <si>
    <t>EEMNLPGRW</t>
  </si>
  <si>
    <t>Protease(34-42)</t>
  </si>
  <si>
    <t>2352..2378</t>
  </si>
  <si>
    <t>B44_Pol_EW9</t>
  </si>
  <si>
    <t>original name should be B44_Pol_EW9</t>
  </si>
  <si>
    <t>EEMSLPGRW</t>
  </si>
  <si>
    <t>EIIGDIRQAY</t>
  </si>
  <si>
    <t>gp120(321-330)</t>
  </si>
  <si>
    <t>7185..7214</t>
  </si>
  <si>
    <t>A*2501</t>
  </si>
  <si>
    <t>A2501_gp160_EY10</t>
  </si>
  <si>
    <t>A25_gp160_EY10</t>
  </si>
  <si>
    <t>GEIIGDIRQAH</t>
  </si>
  <si>
    <t>GXXIGNMRQAH</t>
  </si>
  <si>
    <t>EIYKRWII</t>
  </si>
  <si>
    <t>p24(128-135)</t>
  </si>
  <si>
    <t>1567..1590</t>
  </si>
  <si>
    <t>B0801_Gag_EI8</t>
  </si>
  <si>
    <t>B08_Gag_EI8</t>
  </si>
  <si>
    <t>ELRSLYNTV</t>
  </si>
  <si>
    <t>p17(74-82)</t>
  </si>
  <si>
    <t>1009..1035</t>
  </si>
  <si>
    <t>B0801_Gag_EV9</t>
  </si>
  <si>
    <t>B08_Gag_EV9</t>
  </si>
  <si>
    <t>original name should be B08_Gag_EV9</t>
  </si>
  <si>
    <t>ERILSTYLGR</t>
  </si>
  <si>
    <t>Rev</t>
  </si>
  <si>
    <t>8471..8500</t>
  </si>
  <si>
    <t>A0301_Rev_ER10</t>
  </si>
  <si>
    <t>A03_Rev_ER10</t>
  </si>
  <si>
    <t>original name should be A03_Rev_ER10</t>
  </si>
  <si>
    <t>EWILSTYLGR</t>
  </si>
  <si>
    <t>ERILGTYLGR</t>
  </si>
  <si>
    <t>ERYLKDQQL**</t>
  </si>
  <si>
    <t>ERYLKDQQL</t>
  </si>
  <si>
    <t>gp41(73-81)</t>
  </si>
  <si>
    <t>7974..8000</t>
  </si>
  <si>
    <t>B1402_gp160_EL9</t>
  </si>
  <si>
    <t>B14_gp160_EL9</t>
  </si>
  <si>
    <t>original name should be B14_gp160_EL9</t>
  </si>
  <si>
    <t>ETFYVDGAANR</t>
  </si>
  <si>
    <t>RT(438-448)</t>
  </si>
  <si>
    <t>3861..3893</t>
  </si>
  <si>
    <t>A2601_Pol_ER11</t>
  </si>
  <si>
    <t>original name should be A26_Pol_ER11</t>
  </si>
  <si>
    <t>ETINEEAAEW</t>
  </si>
  <si>
    <t>p24(71-80)</t>
  </si>
  <si>
    <t>1396..1425</t>
  </si>
  <si>
    <t>A2501_Gag_EW10</t>
  </si>
  <si>
    <t>A25_Gag_EW10</t>
  </si>
  <si>
    <t>original name should be A25_Gag_EW10</t>
  </si>
  <si>
    <t>ETKLGKAGY</t>
  </si>
  <si>
    <t>RT(449-457)</t>
  </si>
  <si>
    <t>3894..3920</t>
  </si>
  <si>
    <t>A*2601</t>
  </si>
  <si>
    <t>A2601_Pol_EY9</t>
  </si>
  <si>
    <t>original name should be A26_Pol_EY9</t>
  </si>
  <si>
    <t>ETYGDTWTGV</t>
  </si>
  <si>
    <t>5700..5729</t>
  </si>
  <si>
    <t>A6802_Vpr_EV10</t>
  </si>
  <si>
    <t>original name should be A68_Vpr_EV10</t>
  </si>
  <si>
    <t>ETYGDTWAGV</t>
  </si>
  <si>
    <t>EVAQRAYR</t>
  </si>
  <si>
    <t>gp41(320-327)</t>
  </si>
  <si>
    <t>8715..8738</t>
  </si>
  <si>
    <t>A*3303</t>
  </si>
  <si>
    <t>A3303_gp160_ER8</t>
  </si>
  <si>
    <t>A33_gp160_ER8</t>
  </si>
  <si>
    <t>original name should be A33_gp160_ER8</t>
  </si>
  <si>
    <t>EVVQRACR</t>
  </si>
  <si>
    <t>EVVQGACR</t>
  </si>
  <si>
    <t>EVIPMFSAL</t>
  </si>
  <si>
    <t>p24(35-43)</t>
  </si>
  <si>
    <t>1288..1314</t>
  </si>
  <si>
    <t>A*2601, A*2602, A*2603</t>
  </si>
  <si>
    <t>A2601_Gag_EL9</t>
  </si>
  <si>
    <t>orignal name should be A26_Gag_EL9</t>
  </si>
  <si>
    <t>EYRKILRQR</t>
  </si>
  <si>
    <t>Vpu</t>
  </si>
  <si>
    <t>6146..6172</t>
  </si>
  <si>
    <t>A3303_Vpu_ER9</t>
  </si>
  <si>
    <t>A33_Vpu_ER9</t>
  </si>
  <si>
    <t>original name should be A33_Vpu_ER9</t>
  </si>
  <si>
    <t>FKRKGGIGGY</t>
  </si>
  <si>
    <t>Integrase(185-194)</t>
  </si>
  <si>
    <t>4782..4811</t>
  </si>
  <si>
    <t>B*1503</t>
  </si>
  <si>
    <t>B1503_Pol_FY10</t>
  </si>
  <si>
    <t>original name should be B15_Pol_FY10</t>
  </si>
  <si>
    <t>FLGKIWPSYK</t>
  </si>
  <si>
    <t>p2p7p1p6(70-79)</t>
  </si>
  <si>
    <t>2086..2115</t>
  </si>
  <si>
    <t>A0201_Gag_FK10</t>
  </si>
  <si>
    <t>A02_Gag_FK10</t>
  </si>
  <si>
    <t>original name should be A02_Gag_FK10</t>
  </si>
  <si>
    <t>FLGKIWPSHK</t>
  </si>
  <si>
    <t>FLKEKGGL</t>
  </si>
  <si>
    <t>9064..9087</t>
  </si>
  <si>
    <t>B0801_Nef_FL8</t>
  </si>
  <si>
    <t>B08_Nef_FL8</t>
  </si>
  <si>
    <t>FPDWQNYTP</t>
  </si>
  <si>
    <t>9157..9183</t>
  </si>
  <si>
    <t>B*5401</t>
  </si>
  <si>
    <t>B5401_Nef_FP9</t>
  </si>
  <si>
    <t>original name should be B54_Nef_FP9</t>
  </si>
  <si>
    <t>FPD*QNYTP</t>
  </si>
  <si>
    <t>FPISPIETV</t>
  </si>
  <si>
    <t>Protease(99)-RT(8)</t>
  </si>
  <si>
    <t>2547..2573</t>
  </si>
  <si>
    <t>B5401_Pol_FV9</t>
  </si>
  <si>
    <t>original should be B54_Pol_FV9</t>
  </si>
  <si>
    <t>FPRIWLHGL</t>
  </si>
  <si>
    <t>5658..5684</t>
  </si>
  <si>
    <t>B*0702, B*8101</t>
  </si>
  <si>
    <t>B0702_Vpr_FL9</t>
  </si>
  <si>
    <t>B07_Vpr_FL9</t>
  </si>
  <si>
    <t>original name should be B07_Vpr_FL9</t>
  </si>
  <si>
    <t>FPRIWLHSL</t>
  </si>
  <si>
    <t>FPVTPQVPL</t>
  </si>
  <si>
    <t>8998..9024</t>
  </si>
  <si>
    <t>B*0702</t>
  </si>
  <si>
    <t>B0702_Nef_FL9</t>
  </si>
  <si>
    <t>B07_Nef_FL9</t>
  </si>
  <si>
    <t>original name should be B07_Nef_FL9</t>
  </si>
  <si>
    <t>FPVRPQVPL</t>
  </si>
  <si>
    <t>FPVTPQVPLR</t>
  </si>
  <si>
    <t>8998..9027</t>
  </si>
  <si>
    <t>B0702_Nef_FR10</t>
  </si>
  <si>
    <t>original name should be B07_Nef_FR10</t>
  </si>
  <si>
    <t>FPVRPQVPLR</t>
  </si>
  <si>
    <t>FQTKGLGISY</t>
  </si>
  <si>
    <t>5942..5971</t>
  </si>
  <si>
    <t>B1503_Tat_FY10</t>
  </si>
  <si>
    <t>original name should be B15_Tat_FY10</t>
  </si>
  <si>
    <t>FITKGLGISY</t>
  </si>
  <si>
    <t>FITKALGISY</t>
  </si>
  <si>
    <t>FRDYVDRFF</t>
  </si>
  <si>
    <t>p24(161-169)</t>
  </si>
  <si>
    <t>1666..1692</t>
  </si>
  <si>
    <t>Cw18_Gag_FF9</t>
  </si>
  <si>
    <t>original name should be  Cw18_Gag_FF9</t>
  </si>
  <si>
    <t>FRDYVDRFY</t>
  </si>
  <si>
    <t>FRDYVDRFYK</t>
  </si>
  <si>
    <t>p24(161-170)</t>
  </si>
  <si>
    <t>1666..1695</t>
  </si>
  <si>
    <t>B, D</t>
  </si>
  <si>
    <t>B*1801</t>
  </si>
  <si>
    <t>B1801_Gag_FK10</t>
  </si>
  <si>
    <t>B18_Gag_FK10</t>
  </si>
  <si>
    <t>FSPEVIPMF</t>
  </si>
  <si>
    <t>p24(32-40)</t>
  </si>
  <si>
    <t>1279..1305</t>
  </si>
  <si>
    <t>B57_Gag_FF9</t>
  </si>
  <si>
    <t>GAETFYVDGA</t>
  </si>
  <si>
    <t>RT(436-445)</t>
  </si>
  <si>
    <t>3855..3884</t>
  </si>
  <si>
    <t>A6802_Pol_GA10</t>
  </si>
  <si>
    <t>original name should be A68_Pol_GA10</t>
  </si>
  <si>
    <t>GAFDLSFFL</t>
  </si>
  <si>
    <t>A*0205</t>
  </si>
  <si>
    <t>A0205_Nef_GL9</t>
  </si>
  <si>
    <t>A02_Nef_GL9</t>
  </si>
  <si>
    <t>original name should be A02_Nef_GL9</t>
  </si>
  <si>
    <t>GELDRWEKI</t>
  </si>
  <si>
    <t>p17(11-19)</t>
  </si>
  <si>
    <t>820..846</t>
  </si>
  <si>
    <t>B4002_Gag_GI9</t>
  </si>
  <si>
    <t>original name should be B40_Gag_GI9</t>
  </si>
  <si>
    <t>GELDKWEKI</t>
  </si>
  <si>
    <t>GERIVDII</t>
  </si>
  <si>
    <t>Integrase(197-204)</t>
  </si>
  <si>
    <t>4818..4841</t>
  </si>
  <si>
    <t>B4002_Pol_GI8</t>
  </si>
  <si>
    <t>original name should be B40_Pol_GI8</t>
  </si>
  <si>
    <t>GGKKKYKL</t>
  </si>
  <si>
    <t>p17(24-31)</t>
  </si>
  <si>
    <t>859..882</t>
  </si>
  <si>
    <t>B0801_Gag_GL8</t>
  </si>
  <si>
    <t>original name should be B08_Gag_GL8</t>
  </si>
  <si>
    <t>GGKKKYKLK</t>
  </si>
  <si>
    <t>p17(24-32)</t>
  </si>
  <si>
    <t>859..885</t>
  </si>
  <si>
    <t>B0801_Gag_GK9</t>
  </si>
  <si>
    <t>B08_Gag_GK9</t>
  </si>
  <si>
    <t>original name should be B08_Gag_GK9</t>
  </si>
  <si>
    <t>GHQAAMQML</t>
  </si>
  <si>
    <t>p24(61-69)</t>
  </si>
  <si>
    <t>1366..1392</t>
  </si>
  <si>
    <t>B*1510, B*3901</t>
  </si>
  <si>
    <t>B1510_Gag_GL9</t>
  </si>
  <si>
    <t>original name should be B15_Gag_GL9</t>
  </si>
  <si>
    <t>GIPHPAGLK</t>
  </si>
  <si>
    <t>RT(93-101)</t>
  </si>
  <si>
    <t>2826..2852</t>
  </si>
  <si>
    <t>A0301_Pol_GK9</t>
  </si>
  <si>
    <t>A03_Pol_GK9</t>
  </si>
  <si>
    <t>original name should be A03_Pol_GK9</t>
  </si>
  <si>
    <t>GKKAIGTVL</t>
  </si>
  <si>
    <t>Protease(68-76)</t>
  </si>
  <si>
    <t>2454..2480</t>
  </si>
  <si>
    <t>B1503_Pol_GL9</t>
  </si>
  <si>
    <t>original name should be B15_Pol_GL9</t>
  </si>
  <si>
    <t>GHKAIGTVL</t>
  </si>
  <si>
    <t>GLNKIVRMY</t>
  </si>
  <si>
    <t>p24(137-145)</t>
  </si>
  <si>
    <t>1594..1620</t>
  </si>
  <si>
    <t>B1501_Gag_GY9</t>
  </si>
  <si>
    <t>original name should be B15_Gag_GY9</t>
  </si>
  <si>
    <t>GPGHKARVL</t>
  </si>
  <si>
    <t>p24(223-231)</t>
  </si>
  <si>
    <t>1852..1878</t>
  </si>
  <si>
    <t>B0702_Gag_GL9</t>
  </si>
  <si>
    <t>B07_Gag_GL9</t>
  </si>
  <si>
    <t>original name should be B07_Gag_GL9</t>
  </si>
  <si>
    <t>GPKVKQWPL</t>
  </si>
  <si>
    <t>RT(18-26)</t>
  </si>
  <si>
    <t>2601..2627</t>
  </si>
  <si>
    <t>B0801_Pol_GL9</t>
  </si>
  <si>
    <t>B08_Pol_GL9</t>
  </si>
  <si>
    <t>original name should be B08_Pol_GL9</t>
  </si>
  <si>
    <t>GQGQWTYQI</t>
  </si>
  <si>
    <t>RT(333-341)</t>
  </si>
  <si>
    <t>3546..3572</t>
  </si>
  <si>
    <t>B13_Pol_GI9</t>
  </si>
  <si>
    <t>GQMREPRGSDI</t>
  </si>
  <si>
    <t>p24(94-104)</t>
  </si>
  <si>
    <t>1465..1497</t>
  </si>
  <si>
    <t>B13_Gag_GI11</t>
  </si>
  <si>
    <t>original name should be B13_Gag_GI11</t>
  </si>
  <si>
    <t>GRRGWEALKY</t>
  </si>
  <si>
    <t>gp41(275-284)</t>
  </si>
  <si>
    <t>8580..8609</t>
  </si>
  <si>
    <t>B*2705</t>
  </si>
  <si>
    <t>B2705_gp160_GY10</t>
  </si>
  <si>
    <t>B27_gp160_GY10</t>
  </si>
  <si>
    <t>GRRGWEVLKY</t>
  </si>
  <si>
    <t>GSEELRSLY*</t>
  </si>
  <si>
    <t>GSEELRSLY</t>
  </si>
  <si>
    <t>p17(71-79)</t>
  </si>
  <si>
    <t>1000..1026</t>
  </si>
  <si>
    <t>A*0101</t>
  </si>
  <si>
    <t>A0101_Gag_GY9</t>
  </si>
  <si>
    <t>A01_Gag_GY9</t>
  </si>
  <si>
    <t>original name should be A01_Gag_GY9</t>
  </si>
  <si>
    <t>HIGPGRAFY</t>
  </si>
  <si>
    <t>gp120(310-318)</t>
  </si>
  <si>
    <t>7152..7178</t>
  </si>
  <si>
    <t>A*3002</t>
  </si>
  <si>
    <t>A3002_gp160_HY9</t>
  </si>
  <si>
    <t>A30_gp160_HY9</t>
  </si>
  <si>
    <t>original name should be A30_gp160_HY9</t>
  </si>
  <si>
    <t>QRGPGRAFV</t>
  </si>
  <si>
    <t>EDITED</t>
  </si>
  <si>
    <t>HLVWASREL</t>
  </si>
  <si>
    <t>p17(33-41)</t>
  </si>
  <si>
    <t>886..912</t>
  </si>
  <si>
    <t>Cw0804_Gag_HL9</t>
  </si>
  <si>
    <t>Cw08_Gag_HL9</t>
  </si>
  <si>
    <t>original name should be Cw08_Gag_HL9</t>
  </si>
  <si>
    <t>HIVWASREL</t>
  </si>
  <si>
    <t>HMYISKKAK</t>
  </si>
  <si>
    <t>Vif</t>
  </si>
  <si>
    <t>5122..5148</t>
  </si>
  <si>
    <t>A0301_Vif_HK9</t>
  </si>
  <si>
    <t>A03_Vif_HK9</t>
  </si>
  <si>
    <t>original name should be A03_Vif_HK9</t>
  </si>
  <si>
    <t>HMYISRKAK</t>
  </si>
  <si>
    <t>HMYVSGKAR</t>
  </si>
  <si>
    <t>HPDIVIYQY</t>
  </si>
  <si>
    <t>RT(175-183)</t>
  </si>
  <si>
    <t>3072..3098</t>
  </si>
  <si>
    <t>B3501_Pol_HY9</t>
  </si>
  <si>
    <t>B35_Pol_HY9</t>
  </si>
  <si>
    <t>original name should be B35_Pol_HY9</t>
  </si>
  <si>
    <t>NPDIVIYQY</t>
  </si>
  <si>
    <t>HPRVSSEVHI</t>
  </si>
  <si>
    <t>5182..5211</t>
  </si>
  <si>
    <t>B0702_Vif_HI10</t>
  </si>
  <si>
    <t>B07_Vif_HI10</t>
  </si>
  <si>
    <t>original name should be B07_Vif_HI10</t>
  </si>
  <si>
    <t>HPRISSEVHI</t>
  </si>
  <si>
    <t>HPVHAGPIA</t>
  </si>
  <si>
    <t>p24(84-92)</t>
  </si>
  <si>
    <t>1435..1461</t>
  </si>
  <si>
    <t>B3501_Gag_HA9</t>
  </si>
  <si>
    <t>B35_Gag_HA9</t>
  </si>
  <si>
    <t>original name should be B35_Gag_HA9</t>
  </si>
  <si>
    <t>HQAISPRTL</t>
  </si>
  <si>
    <t>p24(12-20)</t>
  </si>
  <si>
    <t>1219..1245</t>
  </si>
  <si>
    <t>B*1510</t>
  </si>
  <si>
    <t>B1510_Gag_HL9</t>
  </si>
  <si>
    <t>original name should be B15_Gag_HL9</t>
  </si>
  <si>
    <t>HTDNGSNF</t>
  </si>
  <si>
    <t>Integrase(114-121)</t>
  </si>
  <si>
    <t>4569..4592</t>
  </si>
  <si>
    <t>Cw5_Pol_HF8</t>
  </si>
  <si>
    <t>original name should be Cw5_Pol_HF8</t>
  </si>
  <si>
    <t>HTQGYFPDW</t>
  </si>
  <si>
    <t>9142..9168</t>
  </si>
  <si>
    <t>B5703_Nef_HW9</t>
  </si>
  <si>
    <t>B57_Nef_HQ10</t>
  </si>
  <si>
    <t>original name should be B57_Nef_HW9</t>
  </si>
  <si>
    <t>HTQGYFPD*</t>
  </si>
  <si>
    <t>HTQGYFPDWQ</t>
  </si>
  <si>
    <t>9142..9171</t>
  </si>
  <si>
    <t>original name should be B57_Nef_HQ10</t>
  </si>
  <si>
    <t>HTQGYFPD*Q</t>
  </si>
  <si>
    <t>HVASGYIEA</t>
  </si>
  <si>
    <t>Integrase(78-86)</t>
  </si>
  <si>
    <t>4461..4487</t>
  </si>
  <si>
    <t>B5401_Pol_HA9</t>
  </si>
  <si>
    <t>original name should be B5401_Pol_HA9</t>
  </si>
  <si>
    <t>IAMESIVIW</t>
  </si>
  <si>
    <t>RT(375-383)</t>
  </si>
  <si>
    <t>3672..3698</t>
  </si>
  <si>
    <t>B57_Pol_IW9</t>
  </si>
  <si>
    <t>B57_Pol_IAW9</t>
  </si>
  <si>
    <t>original name should be B57_Pol_IW9</t>
  </si>
  <si>
    <t>IATESIVIW</t>
  </si>
  <si>
    <t>ITTESIVIW</t>
  </si>
  <si>
    <t>IEAEVIPAET</t>
  </si>
  <si>
    <t>Integrase(84-93)</t>
  </si>
  <si>
    <t>4479..4508</t>
  </si>
  <si>
    <t>B4002_Pol_IT10</t>
  </si>
  <si>
    <t>original name should be B40_Pol_IT10</t>
  </si>
  <si>
    <t>IEELRQHLL</t>
  </si>
  <si>
    <t>RT(202-210)</t>
  </si>
  <si>
    <t>3153..3179</t>
  </si>
  <si>
    <t>B*4001</t>
  </si>
  <si>
    <t>B4001_Pol_IL9</t>
  </si>
  <si>
    <t>IEIKDTKEAL</t>
  </si>
  <si>
    <t>p17(92-101)</t>
  </si>
  <si>
    <t>1063..1092</t>
  </si>
  <si>
    <t>B4001_Gag_IL10</t>
  </si>
  <si>
    <t>IEVKDTKEAL</t>
  </si>
  <si>
    <t>IETVPVKL</t>
  </si>
  <si>
    <t>RT(5-12)</t>
  </si>
  <si>
    <t>2562..2585</t>
  </si>
  <si>
    <t>B4001_Pol_IL8</t>
  </si>
  <si>
    <t>IIATDIQTK</t>
  </si>
  <si>
    <t>Integrase(203-211)</t>
  </si>
  <si>
    <t>4836..4862</t>
  </si>
  <si>
    <t>A*11</t>
  </si>
  <si>
    <t>A11_Pol_IK9</t>
  </si>
  <si>
    <t>original name should be A11_Pol_IK9</t>
  </si>
  <si>
    <t>ILKEPVHGV</t>
  </si>
  <si>
    <t>RT(309-317)</t>
  </si>
  <si>
    <t>3474..3500</t>
  </si>
  <si>
    <t>A0201_Pol_IV9</t>
  </si>
  <si>
    <t>A02_Pol_IV9</t>
  </si>
  <si>
    <t>original name should be A02_Pol_IV9</t>
  </si>
  <si>
    <t>ILKEPVHGVY</t>
  </si>
  <si>
    <t>RT(309-318)</t>
  </si>
  <si>
    <t>3474..3503</t>
  </si>
  <si>
    <t>B*1501, Cw*1202</t>
  </si>
  <si>
    <t>B1501_Pol_IY10</t>
  </si>
  <si>
    <t>IPLGDAKLII</t>
  </si>
  <si>
    <t>5209..5238</t>
  </si>
  <si>
    <t>B51_Vif_II10</t>
  </si>
  <si>
    <t>original name should be B51_Vif_II10</t>
  </si>
  <si>
    <t>IPLGDAKLVI</t>
  </si>
  <si>
    <t>IPLGDARLVI</t>
  </si>
  <si>
    <t>IPLTEEAEL</t>
  </si>
  <si>
    <t>RT(293-301)</t>
  </si>
  <si>
    <t>3426..3452</t>
  </si>
  <si>
    <t>B3501_Pol_IL9</t>
  </si>
  <si>
    <t>B35_Pol_IL9</t>
  </si>
  <si>
    <t>original name should be B35_Pol_IL9</t>
  </si>
  <si>
    <t>IPRRIRQGL</t>
  </si>
  <si>
    <t>gp41(332-340)</t>
  </si>
  <si>
    <t>8751..8777</t>
  </si>
  <si>
    <t>B0702_gp160_IL9</t>
  </si>
  <si>
    <t>B07_gp160_IL9</t>
  </si>
  <si>
    <t>original name should be B07_gp160_IL9</t>
  </si>
  <si>
    <t>IQQEFGIPY</t>
  </si>
  <si>
    <t>Integrase(135-143)</t>
  </si>
  <si>
    <t>4632..4658</t>
  </si>
  <si>
    <t>B1503_Pol_IY9</t>
  </si>
  <si>
    <t>original name should be B15_Pol_IY9</t>
  </si>
  <si>
    <t>IKQEFGIPY</t>
  </si>
  <si>
    <t>IRLRPGGKK</t>
  </si>
  <si>
    <t>p17(19-27)</t>
  </si>
  <si>
    <t>844..870</t>
  </si>
  <si>
    <t>B2705_Gag_IK9</t>
  </si>
  <si>
    <t>B27_Gag_IK9</t>
  </si>
  <si>
    <t>original name should be B27_Gag_IK9</t>
  </si>
  <si>
    <t>IRYQYNVL</t>
  </si>
  <si>
    <t>RT(142-149)</t>
  </si>
  <si>
    <t>2973..2996</t>
  </si>
  <si>
    <t>B*1401</t>
  </si>
  <si>
    <t>B1401_Pol_IL8</t>
  </si>
  <si>
    <t>B14_Pol_IL8</t>
  </si>
  <si>
    <t>ISERILSTY*</t>
  </si>
  <si>
    <t>ISERILSTY</t>
  </si>
  <si>
    <t>Rev(55-63)</t>
  </si>
  <si>
    <t>8465..8491</t>
  </si>
  <si>
    <t>A0101_Rev_IY9</t>
  </si>
  <si>
    <t>A01_Rev_IY9</t>
  </si>
  <si>
    <t>original name should be A01_Rev_IY9</t>
  </si>
  <si>
    <t>ISEWILSTY</t>
  </si>
  <si>
    <t>ISERILGTY</t>
  </si>
  <si>
    <t>ISKKAKGWF</t>
  </si>
  <si>
    <t>5131..5157</t>
  </si>
  <si>
    <t>B5701_Vif_IF9</t>
  </si>
  <si>
    <t>B57_Vif_IF9</t>
  </si>
  <si>
    <t>original name should be B57_Vif_IF9</t>
  </si>
  <si>
    <t>ISRKAKGWF</t>
  </si>
  <si>
    <t>VSGKARGWF</t>
  </si>
  <si>
    <t>ISPRTLNAW</t>
  </si>
  <si>
    <t>p24(15-23)</t>
  </si>
  <si>
    <t>1228..1254</t>
  </si>
  <si>
    <t>B5701_Gag_IW9</t>
  </si>
  <si>
    <t>original name should be B57_Gag_IW9</t>
  </si>
  <si>
    <t>ITKGLGISYGR</t>
  </si>
  <si>
    <t>5945..5977</t>
  </si>
  <si>
    <t>A6801_Tat_IR11</t>
  </si>
  <si>
    <t>original name should be A68_Tat_IR11</t>
  </si>
  <si>
    <t>ITKALGISYGR</t>
  </si>
  <si>
    <t>ITLWQRPLV</t>
  </si>
  <si>
    <t>Protease(3-11)</t>
  </si>
  <si>
    <t>2259..2285</t>
  </si>
  <si>
    <t>A, B, D</t>
  </si>
  <si>
    <t>A*6802, A*7401</t>
  </si>
  <si>
    <t>A6802_Pol_IV9</t>
  </si>
  <si>
    <t>original name should be A68_Pol_IV9</t>
  </si>
  <si>
    <t>VTLWQRPLV</t>
  </si>
  <si>
    <t>IVLPEKDSW</t>
  </si>
  <si>
    <t>RT(244-252)</t>
  </si>
  <si>
    <t>3279..3305</t>
  </si>
  <si>
    <t>B5701_Pol_IW9</t>
  </si>
  <si>
    <t>IVNRNRQGY</t>
  </si>
  <si>
    <t>gp41(193-201)</t>
  </si>
  <si>
    <t>8334..8360</t>
  </si>
  <si>
    <t>A3002_gp160_IY9</t>
  </si>
  <si>
    <t>A30_gp160_IY9</t>
  </si>
  <si>
    <t>original name should be A30_gp160_IY9</t>
  </si>
  <si>
    <t>IVNRVRQGY</t>
  </si>
  <si>
    <t>IVTDSQYAL</t>
  </si>
  <si>
    <t>RT(495-503)</t>
  </si>
  <si>
    <t>4032..4058</t>
  </si>
  <si>
    <t>Cw0802_Pol_IL9</t>
  </si>
  <si>
    <t>Cw08_Pol_IL9</t>
  </si>
  <si>
    <t>original name should be Cw08_Pol_IL9</t>
  </si>
  <si>
    <t>IVTRIVELL</t>
  </si>
  <si>
    <t>gp41(266-274)</t>
  </si>
  <si>
    <t>8553..8579</t>
  </si>
  <si>
    <t>A6802_gp160_IL9</t>
  </si>
  <si>
    <t>original name should be A68_gp160_IL9</t>
  </si>
  <si>
    <t>IVARIVELL</t>
  </si>
  <si>
    <t>IYQEPFKNLK</t>
  </si>
  <si>
    <t>RT(341-350)</t>
  </si>
  <si>
    <t>3570..3599</t>
  </si>
  <si>
    <t>A1101_Pol_IK10</t>
  </si>
  <si>
    <t>A11_Pol_IK10</t>
  </si>
  <si>
    <t>original name should be A11_Pol_IK10</t>
  </si>
  <si>
    <t>KAAFDLSFF</t>
  </si>
  <si>
    <t>9040..9066</t>
  </si>
  <si>
    <t>B*5703, B*5801</t>
  </si>
  <si>
    <t>B5703_Nef_KF9</t>
  </si>
  <si>
    <t>B57_Nef_KF9</t>
  </si>
  <si>
    <t>KAALDLSHF</t>
  </si>
  <si>
    <t>KAAVDLSHF</t>
  </si>
  <si>
    <t>KAAVDLSHFL</t>
  </si>
  <si>
    <t>9040..9069</t>
  </si>
  <si>
    <t>Cw8_Nef_KL10</t>
  </si>
  <si>
    <t>original name should be Cw8_Nef_KL10</t>
  </si>
  <si>
    <t>KAALDLSHFL</t>
  </si>
  <si>
    <t>KAFSPEVI</t>
  </si>
  <si>
    <t>p24(30-37)</t>
  </si>
  <si>
    <t>1273..1296</t>
  </si>
  <si>
    <t>B*5701, B*5703</t>
  </si>
  <si>
    <t>B57_Gag_KI8</t>
  </si>
  <si>
    <t>original name should be B57_Gag_KI8</t>
  </si>
  <si>
    <t>KAFSPEVIPMF</t>
  </si>
  <si>
    <t>p24(30-40)</t>
  </si>
  <si>
    <t>1273..1305</t>
  </si>
  <si>
    <t>B5701_Gag_KF11</t>
  </si>
  <si>
    <t>B57_Gag_KF11</t>
  </si>
  <si>
    <t>original name should be B57_Gag_KF11</t>
  </si>
  <si>
    <t>KAIGTVLV</t>
  </si>
  <si>
    <t>Protease(70-77)</t>
  </si>
  <si>
    <t>2460..2483</t>
  </si>
  <si>
    <t>B57_Pol_KV8</t>
  </si>
  <si>
    <t>original name should be B57_Pol_KV8</t>
  </si>
  <si>
    <t>KAVRLIKFLY</t>
  </si>
  <si>
    <t>6009..6038</t>
  </si>
  <si>
    <t>B5701_Rev_KY10</t>
  </si>
  <si>
    <t>B57_Rev_KY10</t>
  </si>
  <si>
    <t>original name should be B57_Rev_KY10</t>
  </si>
  <si>
    <t>KTVRLIKFLY</t>
  </si>
  <si>
    <t>RTVRLIKLLY</t>
  </si>
  <si>
    <t>KAYETEVHNVW</t>
  </si>
  <si>
    <t>gp120(59-69)</t>
  </si>
  <si>
    <t>6399..6431</t>
  </si>
  <si>
    <t>B58_gp160_KW11</t>
  </si>
  <si>
    <t>original name should be B58_gp160_KW11</t>
  </si>
  <si>
    <t>KAYDTEVHNVW</t>
  </si>
  <si>
    <t>KEKGGLEGL</t>
  </si>
  <si>
    <t>9070..9096</t>
  </si>
  <si>
    <t>B*4001, B*4002</t>
  </si>
  <si>
    <t>B4001_Nef_KL9</t>
  </si>
  <si>
    <t>original name should be B40_Nef_KL9</t>
  </si>
  <si>
    <t>KELYPLTSL</t>
  </si>
  <si>
    <t>p2p7p1p6(118-126)</t>
  </si>
  <si>
    <t>2230..2256</t>
  </si>
  <si>
    <t>B4001_Gag_KL9</t>
  </si>
  <si>
    <t>original name should be B40_Gag_KL9</t>
  </si>
  <si>
    <t>KELYPLASL</t>
  </si>
  <si>
    <t>KETINEEAA</t>
  </si>
  <si>
    <t>p24(70-78)</t>
  </si>
  <si>
    <t>1393..1419</t>
  </si>
  <si>
    <t>B4002_Gag_KA9</t>
  </si>
  <si>
    <t>original name should be B40_Gag_KA9</t>
  </si>
  <si>
    <t>KIQNFRVYY</t>
  </si>
  <si>
    <t>Integrase(219-227)</t>
  </si>
  <si>
    <t>4884..4910</t>
  </si>
  <si>
    <t>A3002_Pol_KYY9</t>
  </si>
  <si>
    <t>A30_Pol_KYY9</t>
  </si>
  <si>
    <t>original name should be A30_Pol_KYY9</t>
  </si>
  <si>
    <t>KIRLRPGGK</t>
  </si>
  <si>
    <t>p17(18-26)</t>
  </si>
  <si>
    <t>841..867</t>
  </si>
  <si>
    <t>A0301_Gag_KK9</t>
  </si>
  <si>
    <t>A03_Gag_KK9</t>
  </si>
  <si>
    <t>original name should be A03_Gag_KK9</t>
  </si>
  <si>
    <t>KLNWASQIY</t>
  </si>
  <si>
    <t>RT(263-271)</t>
  </si>
  <si>
    <t>3336..3362</t>
  </si>
  <si>
    <t>A3002_Pol_KIY9</t>
  </si>
  <si>
    <t>A30_Pol_KIY9</t>
  </si>
  <si>
    <t>original name should be A30_Pol_KIY9</t>
  </si>
  <si>
    <t>KLTPLCVTL</t>
  </si>
  <si>
    <t>gp120(121-129)</t>
  </si>
  <si>
    <t>6585..6611</t>
  </si>
  <si>
    <t>A0201_gp160_KL9</t>
  </si>
  <si>
    <t>A02_gp160_KL9</t>
  </si>
  <si>
    <t>original name should be A02_gp160_KL9</t>
  </si>
  <si>
    <t>KLTPLCVSL</t>
  </si>
  <si>
    <t>KLVDFRELNK</t>
  </si>
  <si>
    <t>RT(73-82)</t>
  </si>
  <si>
    <t>2766..2795</t>
  </si>
  <si>
    <t>A0301_Pol_KK10</t>
  </si>
  <si>
    <t>A03_Pol_KK10</t>
  </si>
  <si>
    <t>original name should be A03_Pol_KK10</t>
  </si>
  <si>
    <t>KQNPDIVIY</t>
  </si>
  <si>
    <t>RT(173-181)</t>
  </si>
  <si>
    <t>3066..3092</t>
  </si>
  <si>
    <t>A*3002, Cw*1202</t>
  </si>
  <si>
    <t>A3002_Pol_KY9</t>
  </si>
  <si>
    <t>A30_Pol_KY9</t>
  </si>
  <si>
    <t>original name should be A30_Pol_KY9</t>
  </si>
  <si>
    <t>KRKGGIGGY</t>
  </si>
  <si>
    <t>Integrase(186-194)</t>
  </si>
  <si>
    <t>4785..4811</t>
  </si>
  <si>
    <t>B2705_Pol_KY9</t>
  </si>
  <si>
    <t>B27_Pol_KY9</t>
  </si>
  <si>
    <t>KRQEILDLWVY</t>
  </si>
  <si>
    <t>9109..9141</t>
  </si>
  <si>
    <t>KRQDILDLWVY</t>
  </si>
  <si>
    <t>RRQDILDLWIY</t>
  </si>
  <si>
    <t>KRWIILGLNK</t>
  </si>
  <si>
    <t>p24(131-140)</t>
  </si>
  <si>
    <t>1576..1605</t>
  </si>
  <si>
    <t>B2705_Gag_KK10</t>
  </si>
  <si>
    <t>B27_Gag_RK10</t>
  </si>
  <si>
    <t>original name should be B27_Gag_KK10</t>
  </si>
  <si>
    <t>KTAVQMAVF</t>
  </si>
  <si>
    <t>Integrase(173-181)</t>
  </si>
  <si>
    <t>4746..4772</t>
  </si>
  <si>
    <t>B5701_Pol_KF9</t>
  </si>
  <si>
    <t>B57_Pol_KF9</t>
  </si>
  <si>
    <t>KTKPPLPSVKK</t>
  </si>
  <si>
    <t>5512..5544</t>
  </si>
  <si>
    <t>A0301_Vif_KK11</t>
  </si>
  <si>
    <t>A03_Vif_KK11</t>
  </si>
  <si>
    <t>original name should be A03_Vif_KK11</t>
  </si>
  <si>
    <t>KIKPPLPSVTK</t>
  </si>
  <si>
    <t>KYCWNLLQY</t>
  </si>
  <si>
    <t>gp41(283-291)</t>
  </si>
  <si>
    <t>8604..8630</t>
  </si>
  <si>
    <t>A3002_gp160_KY9</t>
  </si>
  <si>
    <t>A30_gp160_KQY9</t>
  </si>
  <si>
    <t>original name should be A30_gp160_KY9</t>
  </si>
  <si>
    <t>KYWWNLLQY</t>
  </si>
  <si>
    <t>KYKLKHIVW</t>
  </si>
  <si>
    <t>p17(28-36)</t>
  </si>
  <si>
    <t>871..897</t>
  </si>
  <si>
    <t>A*2402</t>
  </si>
  <si>
    <t>A2402_Gag_KW9</t>
  </si>
  <si>
    <t>A24_Gag_KW9</t>
  </si>
  <si>
    <t>original name should be A24_Gag_KW9</t>
  </si>
  <si>
    <t>LADQLIHLHY</t>
  </si>
  <si>
    <t>5344..5373</t>
  </si>
  <si>
    <t>B1801_Vif_LY10</t>
  </si>
  <si>
    <t>B18_Vif_LY10</t>
  </si>
  <si>
    <t>FINe</t>
  </si>
  <si>
    <t>LADQLIHLYY</t>
  </si>
  <si>
    <t>LEKHGAITS</t>
  </si>
  <si>
    <t>8905..8931</t>
  </si>
  <si>
    <t>B4001_Nef_LS9</t>
  </si>
  <si>
    <t>original name should be B40_Nef_LS9</t>
  </si>
  <si>
    <t>LFCASDAKAY</t>
  </si>
  <si>
    <t>gp120(52-61)</t>
  </si>
  <si>
    <t>6378..6407</t>
  </si>
  <si>
    <t>A2402_gp160_LY10</t>
  </si>
  <si>
    <t>A24_gp160_LY10</t>
  </si>
  <si>
    <t>original name should be A24_gp160_LY10</t>
  </si>
  <si>
    <t>LFLDGIDKA</t>
  </si>
  <si>
    <t>RT(560)-</t>
  </si>
  <si>
    <t>4227..4253</t>
  </si>
  <si>
    <t>B81_Pol_LA9</t>
  </si>
  <si>
    <t>original name should be B81_Pol_LA9</t>
  </si>
  <si>
    <t>LGHGVSIEW</t>
  </si>
  <si>
    <t>5281..5307</t>
  </si>
  <si>
    <t>B5703_Vif_LW9</t>
  </si>
  <si>
    <t>B57_Vif_LW9</t>
  </si>
  <si>
    <t>LGQGVSIEW</t>
  </si>
  <si>
    <t>LLNATDIAV</t>
  </si>
  <si>
    <t>gp41(303-311)</t>
  </si>
  <si>
    <t>8664..8690</t>
  </si>
  <si>
    <t>A0201_gp160_LV9</t>
  </si>
  <si>
    <t>A02_gp160_LV9</t>
  </si>
  <si>
    <t>original name should be A02_gp160_LV9</t>
  </si>
  <si>
    <t>LLNATAIAV</t>
  </si>
  <si>
    <t>LPCRIKQII</t>
  </si>
  <si>
    <t>gp120(416-424)</t>
  </si>
  <si>
    <t>7470..7496</t>
  </si>
  <si>
    <t>B*5101</t>
  </si>
  <si>
    <t>B5101_gp160_LI9</t>
  </si>
  <si>
    <t>B51_gp160_LI9</t>
  </si>
  <si>
    <t>original name should be B51_gp160_LI9</t>
  </si>
  <si>
    <t>LPPIVAKEI</t>
  </si>
  <si>
    <t>Integrase(28-36)</t>
  </si>
  <si>
    <t>4311..4337</t>
  </si>
  <si>
    <t>B*4201, B*51</t>
  </si>
  <si>
    <t>B4201_Pol_LI9</t>
  </si>
  <si>
    <t>original name should be B42_Pol_LI9</t>
  </si>
  <si>
    <t>LPPVVAKEI</t>
  </si>
  <si>
    <t>LPQGWKGSPA</t>
  </si>
  <si>
    <t>RT(149-158)</t>
  </si>
  <si>
    <t>2994..3023</t>
  </si>
  <si>
    <t>B5401_Pol_LA10</t>
  </si>
  <si>
    <t>original name should be B54_Pol_LA10</t>
  </si>
  <si>
    <t>LRPMTYKAA</t>
  </si>
  <si>
    <t>9022..9048</t>
  </si>
  <si>
    <t>B*2703</t>
  </si>
  <si>
    <t>B2703_Nef_LA9</t>
  </si>
  <si>
    <t>B27_Nef_LA9</t>
  </si>
  <si>
    <t>LTFGWCFKL</t>
  </si>
  <si>
    <t>9205..9231</t>
  </si>
  <si>
    <t>B57_Nef_LL9</t>
  </si>
  <si>
    <t>original name should be B57_Nef_LL9</t>
  </si>
  <si>
    <t>LTFGWCYKL</t>
  </si>
  <si>
    <t>LVGKLNWASQIY</t>
  </si>
  <si>
    <t>RT(260-271)</t>
  </si>
  <si>
    <t>3327..3362</t>
  </si>
  <si>
    <t>B*1501</t>
  </si>
  <si>
    <t>B1501_Pol_LY12</t>
  </si>
  <si>
    <t>LVGPTPVNI</t>
  </si>
  <si>
    <t>Protease(76-84)</t>
  </si>
  <si>
    <t>2478..2504</t>
  </si>
  <si>
    <t>A0201_Pol_LI9</t>
  </si>
  <si>
    <t>A02_Pol_LI9</t>
  </si>
  <si>
    <t>original name should be A02_Pol_LI9</t>
  </si>
  <si>
    <t>LVWASRELERF</t>
  </si>
  <si>
    <t>p17(34-44)</t>
  </si>
  <si>
    <t>889..921</t>
  </si>
  <si>
    <t>A30_Gag_LF11</t>
  </si>
  <si>
    <t>original name should be A30_Gag_LF11</t>
  </si>
  <si>
    <t>IVWASRELERF</t>
  </si>
  <si>
    <t>LYNTVATL</t>
  </si>
  <si>
    <t>p17(78-85)</t>
  </si>
  <si>
    <t>1021..1044</t>
  </si>
  <si>
    <t>Cw14_Gag_LL8</t>
  </si>
  <si>
    <t>original name should be Cw14_Gag_LL8</t>
  </si>
  <si>
    <t>LYNTVATLY</t>
  </si>
  <si>
    <t>p17(78-86)</t>
  </si>
  <si>
    <t>1021..1047</t>
  </si>
  <si>
    <t>A*2902, B*4403</t>
  </si>
  <si>
    <t>A2902_Gag_LY9</t>
  </si>
  <si>
    <t>A29_Gag_LY9</t>
  </si>
  <si>
    <t>original name should be A29_Gag_LY9</t>
  </si>
  <si>
    <t>MHEDIISLW</t>
  </si>
  <si>
    <t>gp120(104-112)</t>
  </si>
  <si>
    <t>6534..6560</t>
  </si>
  <si>
    <t>B*3801</t>
  </si>
  <si>
    <t>B3801_gp160_MW9</t>
  </si>
  <si>
    <t>original name should be B38_gp160_MW9</t>
  </si>
  <si>
    <t>NETPGIRYQY</t>
  </si>
  <si>
    <t>RT(137-146)</t>
  </si>
  <si>
    <t>2958..2987</t>
  </si>
  <si>
    <t>B18_Pol_NY10</t>
  </si>
  <si>
    <t>original aname should be B18_Pol_NY10</t>
  </si>
  <si>
    <t>NPEIVIYQY</t>
  </si>
  <si>
    <t>B18_Pol_NY9</t>
  </si>
  <si>
    <t>original name should be B18_Pol_NY9</t>
  </si>
  <si>
    <t>NPPIPVGDIY</t>
  </si>
  <si>
    <t>p24(121-130)</t>
  </si>
  <si>
    <t>1546..1575</t>
  </si>
  <si>
    <t>B3501_Gag_NY10</t>
  </si>
  <si>
    <t>B35_Gag_NQY10</t>
  </si>
  <si>
    <t>original name should be B35_Gag_NY10</t>
  </si>
  <si>
    <t>NPPIPVGEIY</t>
  </si>
  <si>
    <t>NSPTRREL</t>
  </si>
  <si>
    <t>Gag/Pol-TF(24-31)</t>
  </si>
  <si>
    <t>2154..2177</t>
  </si>
  <si>
    <t>Cw*0102</t>
  </si>
  <si>
    <t>Cw0102_Pol_NL8</t>
  </si>
  <si>
    <t>Cw01_Pol_NL8</t>
  </si>
  <si>
    <t>NSSKVSQNY</t>
  </si>
  <si>
    <t>p17(124-132)</t>
  </si>
  <si>
    <t>1159..1185</t>
  </si>
  <si>
    <t>B3501_Gag_NY9</t>
  </si>
  <si>
    <t>B35_Gag_NNY9</t>
  </si>
  <si>
    <t>original name should be B35_Gag_NY9</t>
  </si>
  <si>
    <t>NSSQVSQNY</t>
  </si>
  <si>
    <t>HSNQVSQNY</t>
  </si>
  <si>
    <t>PIQKETWETW</t>
  </si>
  <si>
    <t>RT(392-401)</t>
  </si>
  <si>
    <t>3723..3752</t>
  </si>
  <si>
    <t>A*3201</t>
  </si>
  <si>
    <t>A3201_Pol_PW10</t>
  </si>
  <si>
    <t>A32_Pol_PW10</t>
  </si>
  <si>
    <t>originame should be A32_Pol_PW10</t>
  </si>
  <si>
    <t>PLRPMTYK</t>
  </si>
  <si>
    <t>9019..9042</t>
  </si>
  <si>
    <t>A1101_Nef_PK8</t>
  </si>
  <si>
    <t>A11_Nef_PK8</t>
  </si>
  <si>
    <t>original name should be A11_Nef_PK8</t>
  </si>
  <si>
    <t>PLTFGWCYKL</t>
  </si>
  <si>
    <t>9202..9231</t>
  </si>
  <si>
    <t>A0201_Nef_PL10</t>
  </si>
  <si>
    <t>A02_Nef_PL10</t>
  </si>
  <si>
    <t>original name should be A02_Nef_PL10</t>
  </si>
  <si>
    <t>PLTFGWCFKL</t>
  </si>
  <si>
    <t>PPIPVGDIY</t>
  </si>
  <si>
    <t>p24(122-130)</t>
  </si>
  <si>
    <t>1549..1575</t>
  </si>
  <si>
    <t>B3501_Gag_PY9</t>
  </si>
  <si>
    <t>B35_Gag_PY9</t>
  </si>
  <si>
    <t>original name should be B35_Gag_PY9</t>
  </si>
  <si>
    <t>PPIPVGEIY</t>
  </si>
  <si>
    <t>QAISPRTLNAW</t>
  </si>
  <si>
    <t>p24(13-23)</t>
  </si>
  <si>
    <t>1222..1254</t>
  </si>
  <si>
    <t>A2501_Gag_QW11</t>
  </si>
  <si>
    <t>A25_Gag_QW11</t>
  </si>
  <si>
    <t>original name should be A25_Gag_QW11</t>
  </si>
  <si>
    <t>QASQEVKNW</t>
  </si>
  <si>
    <t>p24(176-184)</t>
  </si>
  <si>
    <t>1711..1737</t>
  </si>
  <si>
    <t>B5301_Gag_QW9</t>
  </si>
  <si>
    <t>B53_Gag_QW9</t>
  </si>
  <si>
    <t>QAVRIIKILY</t>
  </si>
  <si>
    <t>C</t>
  </si>
  <si>
    <t>B5703_Rev_QY10</t>
  </si>
  <si>
    <t>original name should be B57_Rev_QY10</t>
  </si>
  <si>
    <t>QELKNSAVSL</t>
  </si>
  <si>
    <t>gp41(294-303)</t>
  </si>
  <si>
    <t>8637..8666</t>
  </si>
  <si>
    <t>B4001_gp160_QL10</t>
  </si>
  <si>
    <t>QIIEQLIKK</t>
  </si>
  <si>
    <t>RT(520-528)</t>
  </si>
  <si>
    <t>4107..4133</t>
  </si>
  <si>
    <t>A1101_Pol_QK9</t>
  </si>
  <si>
    <t>A11_Pol_QKK9</t>
  </si>
  <si>
    <t>original name should be A11_Pol_QK9</t>
  </si>
  <si>
    <t>QIYPGIKVR</t>
  </si>
  <si>
    <t>RT(269-277)</t>
  </si>
  <si>
    <t>3354..3380</t>
  </si>
  <si>
    <t>A0301_Pol_QR9</t>
  </si>
  <si>
    <t>A03_Pol_QR9</t>
  </si>
  <si>
    <t>original name should be A03_Pol_QR9</t>
  </si>
  <si>
    <t>QIYAGIKVK</t>
  </si>
  <si>
    <t>QTRVLAIERYL</t>
  </si>
  <si>
    <t>gp41(66-76)</t>
  </si>
  <si>
    <t>7953..7985</t>
  </si>
  <si>
    <t>B*5802</t>
  </si>
  <si>
    <t>B5802_gp160_QL11</t>
  </si>
  <si>
    <t>B58_gp160_QL11</t>
  </si>
  <si>
    <t>original name should be B58_gp160_QL11</t>
  </si>
  <si>
    <t>QARVLAVERYL</t>
  </si>
  <si>
    <t>QARILAVERYL</t>
  </si>
  <si>
    <t>QVPLRPMTYK</t>
  </si>
  <si>
    <t>9013..9042</t>
  </si>
  <si>
    <t>A0301_Nef_QK10</t>
  </si>
  <si>
    <t>A03_Nef_QK10</t>
  </si>
  <si>
    <t>original name should be A03_Nef_QK10</t>
  </si>
  <si>
    <t>RAIEAQQHL</t>
  </si>
  <si>
    <t>gp41(46-54)</t>
  </si>
  <si>
    <t>7893..7919</t>
  </si>
  <si>
    <t>B51_gp160_RL9</t>
  </si>
  <si>
    <t>original name should be B51_gp160_RL9</t>
  </si>
  <si>
    <t>RAIEAQQHM</t>
  </si>
  <si>
    <t>Cw8_gp160_RM9</t>
  </si>
  <si>
    <t>original name should be Cw8_gp160_RM9</t>
  </si>
  <si>
    <t>RDYVDRFYKTL</t>
  </si>
  <si>
    <t>p24(162-172)</t>
  </si>
  <si>
    <t>1669..1701</t>
  </si>
  <si>
    <t>A2402_Gag_RL11</t>
  </si>
  <si>
    <t>A24_Gag_RL11</t>
  </si>
  <si>
    <t>original name should be A24_Gag_RL11</t>
  </si>
  <si>
    <t>RGPGRAFVTI</t>
  </si>
  <si>
    <t>7155..7184</t>
  </si>
  <si>
    <t>RIKQIINMW</t>
  </si>
  <si>
    <t>gp120(419-427)</t>
  </si>
  <si>
    <t>7479..7505</t>
  </si>
  <si>
    <t>A3201_gp160_RW9</t>
  </si>
  <si>
    <t>A32_gp160_RW9</t>
  </si>
  <si>
    <t>original name should be A32_gp160_RW9</t>
  </si>
  <si>
    <t>RIRQGLERA</t>
  </si>
  <si>
    <t>gp41(335-343)</t>
  </si>
  <si>
    <t>8760..8786</t>
  </si>
  <si>
    <t>A0205_gp160_RA9</t>
  </si>
  <si>
    <t>A02_gp160_RA9</t>
  </si>
  <si>
    <t>original nmae should be A02_gp160_RA9</t>
  </si>
  <si>
    <t>RIRQGLERI</t>
  </si>
  <si>
    <t>RIRTWKSLVK</t>
  </si>
  <si>
    <t>5089..5118</t>
  </si>
  <si>
    <t>A0301_Vif_RK10</t>
  </si>
  <si>
    <t>A03_Vif_RK10</t>
  </si>
  <si>
    <t>original name should be A03_Vif_RK10</t>
  </si>
  <si>
    <t>RKAKIIRDY</t>
  </si>
  <si>
    <t>Integrase(263-271)</t>
  </si>
  <si>
    <t>5016..5042</t>
  </si>
  <si>
    <t>B1503_Pol_RY9</t>
  </si>
  <si>
    <t>original name should be B15_Pol_RY9</t>
  </si>
  <si>
    <t>RLRDLLLIVTR</t>
  </si>
  <si>
    <t>gp41(259-269)</t>
  </si>
  <si>
    <t>8532..8564</t>
  </si>
  <si>
    <t>A*0301, A*3101</t>
  </si>
  <si>
    <t>A0301_gp160_RR11</t>
  </si>
  <si>
    <t>A03_gp160_RR11</t>
  </si>
  <si>
    <t>original name should be A03_gp160_RR11</t>
  </si>
  <si>
    <t>RLRDLLLIVAR</t>
  </si>
  <si>
    <t>RLRPGGKKK</t>
  </si>
  <si>
    <t>p17(20-28)</t>
  </si>
  <si>
    <t>847..873</t>
  </si>
  <si>
    <t>A0301_Gag_RK9</t>
  </si>
  <si>
    <t>A03_Gag_RK9</t>
  </si>
  <si>
    <t>original name should be A03_Gag_RK9</t>
  </si>
  <si>
    <t>RLRPGGKKKY</t>
  </si>
  <si>
    <t>p17(20-29)</t>
  </si>
  <si>
    <t>847..876</t>
  </si>
  <si>
    <t>A0301_Gag_RY10</t>
  </si>
  <si>
    <t>A03_Gag_RY10</t>
  </si>
  <si>
    <t>original name should be A03_Gag_RY10</t>
  </si>
  <si>
    <t>RMRGAHTNDV</t>
  </si>
  <si>
    <t>RT(356-365)</t>
  </si>
  <si>
    <t>3615..3644</t>
  </si>
  <si>
    <t>A3002_Pol_RV10</t>
  </si>
  <si>
    <t>A30_Pol_RV10</t>
  </si>
  <si>
    <t>original name should be A30_Pol_RV10</t>
  </si>
  <si>
    <t>RMRGAHTNDVK</t>
  </si>
  <si>
    <t>RT(356-366)</t>
  </si>
  <si>
    <t>3615..3647</t>
  </si>
  <si>
    <t>A0301_Pol_RK11</t>
  </si>
  <si>
    <t>A03_Pol_RK11</t>
  </si>
  <si>
    <t>original name should be A03_Pol_RK11</t>
  </si>
  <si>
    <t>RMRRAEPAA</t>
  </si>
  <si>
    <t>8851..8877</t>
  </si>
  <si>
    <t>B15_Nef_RA9</t>
  </si>
  <si>
    <t>B1501_Nef_RA9</t>
  </si>
  <si>
    <t>original name should be B15_Nef_RA9</t>
  </si>
  <si>
    <t>RMYSPTSI</t>
  </si>
  <si>
    <t>p24(143-150)</t>
  </si>
  <si>
    <t>1612..1635</t>
  </si>
  <si>
    <t>B*5201</t>
  </si>
  <si>
    <t>B5201_Gag_RI8</t>
  </si>
  <si>
    <t>B52_Gag_RI8</t>
  </si>
  <si>
    <t>RPAEPVPLQL</t>
  </si>
  <si>
    <t>8498..8527</t>
  </si>
  <si>
    <t>B7_Rev_RL10</t>
  </si>
  <si>
    <t>original name should be B7_Rev_RL10</t>
  </si>
  <si>
    <t>RSAEPVPLQL</t>
  </si>
  <si>
    <t>RPGGKKKYKL</t>
  </si>
  <si>
    <t>p17(22-31)</t>
  </si>
  <si>
    <t>853..882</t>
  </si>
  <si>
    <t>B5101_Gag_RL10</t>
  </si>
  <si>
    <t>B51_Gag_RL10</t>
  </si>
  <si>
    <t>RPMTYKAAL</t>
  </si>
  <si>
    <t>9025..9051</t>
  </si>
  <si>
    <t>B0702_Nef_RL9</t>
  </si>
  <si>
    <t>B07_Nef_RL9</t>
  </si>
  <si>
    <t>original name should be B07_Nef_RL9</t>
  </si>
  <si>
    <t>RPMTYKAAV</t>
  </si>
  <si>
    <t>RPNNNTRKSI</t>
  </si>
  <si>
    <t>gp120(298-307)</t>
  </si>
  <si>
    <t>7116..7145</t>
  </si>
  <si>
    <t>B0702_gp160_RI10</t>
  </si>
  <si>
    <t>B07_gp160_RI10</t>
  </si>
  <si>
    <t>original name should be B07_gp160_RI10</t>
  </si>
  <si>
    <t>RPNNNTRKRI</t>
  </si>
  <si>
    <t>RPQVPLRPM</t>
  </si>
  <si>
    <t>9007..9033</t>
  </si>
  <si>
    <t>B*4201, B*4202</t>
  </si>
  <si>
    <t>B4201_Nef_RM9</t>
  </si>
  <si>
    <t>original name should be B42_Nef_RM9</t>
  </si>
  <si>
    <t>TPQVPLRPM</t>
  </si>
  <si>
    <t>RPQVPLRPMTY</t>
  </si>
  <si>
    <t>9007..9039</t>
  </si>
  <si>
    <t>B35_Nef_RY11</t>
  </si>
  <si>
    <t>original name should be B35_Nef_RY11</t>
  </si>
  <si>
    <t>TPQVPLRPMTY</t>
  </si>
  <si>
    <t>RQANFLGKI</t>
  </si>
  <si>
    <t>p2p7p1p6(66-74)</t>
  </si>
  <si>
    <t>2074..2100</t>
  </si>
  <si>
    <t>B4801_Gag_RI9</t>
  </si>
  <si>
    <t>original name should be B48_Gag_RI9</t>
  </si>
  <si>
    <t>RQDILDLWI</t>
  </si>
  <si>
    <t>9112..9138</t>
  </si>
  <si>
    <t>RQDILDLWV</t>
  </si>
  <si>
    <t>RQDILDLWIY</t>
  </si>
  <si>
    <t>9115..9141</t>
  </si>
  <si>
    <t>B*07</t>
  </si>
  <si>
    <t>B07_Nef_RY10</t>
  </si>
  <si>
    <t>original name should be B07_Nef_RY10</t>
  </si>
  <si>
    <t>QDILDLWVY</t>
  </si>
  <si>
    <t>QDILDLWIY</t>
  </si>
  <si>
    <t>B1302_Nef_RV9</t>
  </si>
  <si>
    <t>B13_Nef_RI9</t>
  </si>
  <si>
    <t>original name should be B13_Nef_RV9</t>
  </si>
  <si>
    <t>RQGLERALL</t>
  </si>
  <si>
    <t>gp41(337-345)</t>
  </si>
  <si>
    <t>8766..8792</t>
  </si>
  <si>
    <t>B8_gp160_RL9</t>
  </si>
  <si>
    <t>original name should be B8_gp160_RL9</t>
  </si>
  <si>
    <t>RQGLERILL</t>
  </si>
  <si>
    <t>RQYDQILIEI</t>
  </si>
  <si>
    <t>Protease(57-66)</t>
  </si>
  <si>
    <t>2421..2450</t>
  </si>
  <si>
    <t>B13_Pol_RI10</t>
  </si>
  <si>
    <t>original name should be B13_Pol_RI10</t>
  </si>
  <si>
    <t>RRGWEVLKY</t>
  </si>
  <si>
    <t>gp41(276-284)</t>
  </si>
  <si>
    <t>8583..8609</t>
  </si>
  <si>
    <t>A0101_gp160_RY9</t>
  </si>
  <si>
    <t>A01_gp160_RY9</t>
  </si>
  <si>
    <t>original nane should be A01_gp160_RY9</t>
  </si>
  <si>
    <t>RRGWEALKY</t>
  </si>
  <si>
    <t>RRQDILDLWI</t>
  </si>
  <si>
    <t>9109..9138</t>
  </si>
  <si>
    <t>B2705_Nef_RI10</t>
  </si>
  <si>
    <t>B27_Nef_RI10</t>
  </si>
  <si>
    <t>original name should be B27_Nef_RI10</t>
  </si>
  <si>
    <t>KRQDILDLWV</t>
  </si>
  <si>
    <t>RRQDILDLWVY</t>
  </si>
  <si>
    <t>B18_Nef_RY11</t>
  </si>
  <si>
    <t>original name should be B18_Nef_RY11</t>
  </si>
  <si>
    <t>RRWIQLGLQK</t>
  </si>
  <si>
    <t>B2703_Gag_RK10</t>
  </si>
  <si>
    <t>original name should be B27_Gag_RK10</t>
  </si>
  <si>
    <t>RSLYNTVATLY</t>
  </si>
  <si>
    <t>p17(76-86)</t>
  </si>
  <si>
    <t>1015..1047</t>
  </si>
  <si>
    <t>A3002_Gag_RY11</t>
  </si>
  <si>
    <t>A30_Gag_RY11</t>
  </si>
  <si>
    <t>original name should be A30_Gag_RY11</t>
  </si>
  <si>
    <t>RVKEKYQHL</t>
  </si>
  <si>
    <t>gp120(2-10)</t>
  </si>
  <si>
    <t>6228..6254</t>
  </si>
  <si>
    <t>B0801_gp160_RL9</t>
  </si>
  <si>
    <t>B08_gp160_RL9</t>
  </si>
  <si>
    <t>original name should be B08_gp160_RL9</t>
  </si>
  <si>
    <t>GIRKNYQHL</t>
  </si>
  <si>
    <t>RYLKDQQLL**</t>
  </si>
  <si>
    <t>RYLKDQQLL</t>
  </si>
  <si>
    <t>gp41(74-82)</t>
  </si>
  <si>
    <t>7977..8003</t>
  </si>
  <si>
    <t>A2402_gp160_RL9</t>
  </si>
  <si>
    <t>A24_gp160_RL9</t>
  </si>
  <si>
    <t>original name should be A24_gp160_RL9</t>
  </si>
  <si>
    <t>RYPLTFGW</t>
  </si>
  <si>
    <t>9196..9219</t>
  </si>
  <si>
    <t>A2402_Nef_RW8</t>
  </si>
  <si>
    <t>A24_Nef_RW8</t>
  </si>
  <si>
    <t>original name should be A24_Nef_RW8</t>
  </si>
  <si>
    <t>9193..9219</t>
  </si>
  <si>
    <t>A33_Nef_TW9</t>
  </si>
  <si>
    <t>IRYPLTFGW</t>
  </si>
  <si>
    <t>VRYPLTFGW</t>
  </si>
  <si>
    <t>SAEPVPLQL**</t>
  </si>
  <si>
    <t>8501..8527</t>
  </si>
  <si>
    <t>Cw*0501</t>
  </si>
  <si>
    <t>Cw0501_Rev_SL9</t>
  </si>
  <si>
    <t>Cw05_Rev_SL9</t>
  </si>
  <si>
    <t>PAEPVPLQL</t>
  </si>
  <si>
    <t>SAEPVPLQL</t>
  </si>
  <si>
    <t>SEGATPQDL</t>
  </si>
  <si>
    <t>p24(44-52)</t>
  </si>
  <si>
    <t>1315..1341</t>
  </si>
  <si>
    <t>B4001_Gag_SL9</t>
  </si>
  <si>
    <t>original name should be B40_Gag_SL9</t>
  </si>
  <si>
    <t>SFEPIPIHY</t>
  </si>
  <si>
    <t>gp120(209-217)</t>
  </si>
  <si>
    <t>6849..6875</t>
  </si>
  <si>
    <t>A*2902</t>
  </si>
  <si>
    <t>A2902_gp160_SY9</t>
  </si>
  <si>
    <t>A29_gp160_SY9</t>
  </si>
  <si>
    <t>original name should be A29_gp160_SY9</t>
  </si>
  <si>
    <t>SFNCGGEFF</t>
  </si>
  <si>
    <t>gp120(375-383)</t>
  </si>
  <si>
    <t>7347..7373</t>
  </si>
  <si>
    <t>B*1516, Cw*0401</t>
  </si>
  <si>
    <t>B1516_gp160_SF9</t>
  </si>
  <si>
    <t>original name should be B15_gp160_SF9</t>
  </si>
  <si>
    <t>SLLNATDIAV</t>
  </si>
  <si>
    <t>gp41(302-311)</t>
  </si>
  <si>
    <t>8661..8690</t>
  </si>
  <si>
    <t>A0201_gp160_SV10</t>
  </si>
  <si>
    <t>A02_gp160_SAV10</t>
  </si>
  <si>
    <t>original name should be A02_gp160_SV10</t>
  </si>
  <si>
    <t>SLLNATAIAV</t>
  </si>
  <si>
    <t>SLYNTVATL</t>
  </si>
  <si>
    <t>p17(77-85)</t>
  </si>
  <si>
    <t>1018..1044</t>
  </si>
  <si>
    <t>A*0201, A*0202, A*0205</t>
  </si>
  <si>
    <t>A0201_Gag_SL9</t>
  </si>
  <si>
    <t>A02_Gag_SL9</t>
  </si>
  <si>
    <t>original name should be A02_Gag_SL9</t>
  </si>
  <si>
    <t>SLYNTVATLY</t>
  </si>
  <si>
    <t>p17(77-86)</t>
  </si>
  <si>
    <t>1018..1047</t>
  </si>
  <si>
    <t>A0201_Gag_SY10</t>
  </si>
  <si>
    <t>A02_Gag_SY10</t>
  </si>
  <si>
    <t>original name should be A02_Gag_SY10</t>
  </si>
  <si>
    <t>SPAIFQSSM</t>
  </si>
  <si>
    <t>RT(156-164)</t>
  </si>
  <si>
    <t>3015..3041</t>
  </si>
  <si>
    <t>B7_Pol_SM9</t>
  </si>
  <si>
    <t>original name should be B7_Pol_SM9</t>
  </si>
  <si>
    <t>SPRTLNAWV</t>
  </si>
  <si>
    <t>p24(16-24)</t>
  </si>
  <si>
    <t>1231..1257</t>
  </si>
  <si>
    <t>B0702_Gag_SV9</t>
  </si>
  <si>
    <t>B07_Gag_SV9</t>
  </si>
  <si>
    <t>original name should be B07_Gag_SV9</t>
  </si>
  <si>
    <t>STTVKAACWW</t>
  </si>
  <si>
    <t>Integrase(123-132)</t>
  </si>
  <si>
    <t>4596..4625</t>
  </si>
  <si>
    <t>B57_Pol_SW10</t>
  </si>
  <si>
    <t>original name should be B57_Pol_SW10</t>
  </si>
  <si>
    <t>GATVRAACWW</t>
  </si>
  <si>
    <t>SVITQACPK</t>
  </si>
  <si>
    <t>gp120(199-207)</t>
  </si>
  <si>
    <t>6819..6845</t>
  </si>
  <si>
    <t>A1101_gp160_SK9</t>
  </si>
  <si>
    <t>A11_gp160_SK9</t>
  </si>
  <si>
    <t>original name should be A11_gp160_SK9</t>
  </si>
  <si>
    <t>TAFTIPSI</t>
  </si>
  <si>
    <t>RT(128-135)</t>
  </si>
  <si>
    <t>2931..2954</t>
  </si>
  <si>
    <t>B5101_Pol_TI8</t>
  </si>
  <si>
    <t>B51_Pol_TI8</t>
  </si>
  <si>
    <t>original name should be B51_Pol_TI8</t>
  </si>
  <si>
    <t>TAVPWNASW</t>
  </si>
  <si>
    <t>gp41(95-103)</t>
  </si>
  <si>
    <t>8040..8066</t>
  </si>
  <si>
    <t>B3501_gp160_TW9</t>
  </si>
  <si>
    <t>B35_gp160_TW9</t>
  </si>
  <si>
    <t>original name should be B35_gp160_TW9</t>
  </si>
  <si>
    <t>TERQANFL</t>
  </si>
  <si>
    <t>p2p7p1p6(64-71)</t>
  </si>
  <si>
    <t>2068..2091</t>
  </si>
  <si>
    <t>B4002_Gag_TL8</t>
  </si>
  <si>
    <t>original name should be B40_Gag_TL8</t>
  </si>
  <si>
    <t>THLEGKIIL</t>
  </si>
  <si>
    <t>Integrase(66-74)</t>
  </si>
  <si>
    <t>4425..4451</t>
  </si>
  <si>
    <t>B1510_Pol_TL9</t>
  </si>
  <si>
    <t>original name should be B15_Pol_TL9</t>
  </si>
  <si>
    <t>THLEGKVIL</t>
  </si>
  <si>
    <t>TLYCVHQK</t>
  </si>
  <si>
    <t>p17(84-91)</t>
  </si>
  <si>
    <t>1039..1062</t>
  </si>
  <si>
    <t>A1101_Gag_TK8</t>
  </si>
  <si>
    <t>A11_Gag_TI9</t>
  </si>
  <si>
    <t>original name should be A11_Gag_TK8</t>
  </si>
  <si>
    <t>TLYCVHQR</t>
  </si>
  <si>
    <t>TPGPGVRYPL</t>
  </si>
  <si>
    <t>9178..9207</t>
  </si>
  <si>
    <t>B*0702, B*4201, B*4202</t>
  </si>
  <si>
    <t>B0702_Nef_TL10</t>
  </si>
  <si>
    <t>B07_Nef_TL10</t>
  </si>
  <si>
    <t>original name should be B07_Nef_TL10</t>
  </si>
  <si>
    <t>TPGPGIRYPL</t>
  </si>
  <si>
    <t>TPQDLNMML</t>
  </si>
  <si>
    <t>p24(48-56)</t>
  </si>
  <si>
    <t>1327..1353</t>
  </si>
  <si>
    <t>A</t>
  </si>
  <si>
    <t>B53_Gag_TL9</t>
  </si>
  <si>
    <t>TPQDLNTML</t>
  </si>
  <si>
    <t>B*0702, B*3910, B*4201, B*8101, Cw*0802</t>
  </si>
  <si>
    <t>B0702_Gag_TL9</t>
  </si>
  <si>
    <t>B07_Gag_TL9</t>
  </si>
  <si>
    <t>original name should be B07_Gag_TL9</t>
  </si>
  <si>
    <t>B0702_Nef_TM9</t>
  </si>
  <si>
    <t>B07_Nef_TM9</t>
  </si>
  <si>
    <t>original name should be B07_Nef_TM9</t>
  </si>
  <si>
    <t>TPVNIIGRNML</t>
  </si>
  <si>
    <t>Protease(80-90)</t>
  </si>
  <si>
    <t>2490..2522</t>
  </si>
  <si>
    <t>B81_Pol_TL11</t>
  </si>
  <si>
    <t>TPVNIIGRNLL</t>
  </si>
  <si>
    <t>TQGYFPDWQNY</t>
  </si>
  <si>
    <t>9145..9177</t>
  </si>
  <si>
    <t>B1501_Nef_TY11</t>
  </si>
  <si>
    <t>original name should be B15_Nef_TY11</t>
  </si>
  <si>
    <t>TQGYFPD*QNY</t>
  </si>
  <si>
    <t>TRYPLTFGW</t>
  </si>
  <si>
    <t>original name should be A33_Nef_TW9</t>
  </si>
  <si>
    <t>TSTLQEQIGW</t>
  </si>
  <si>
    <t>p24(108-117)</t>
  </si>
  <si>
    <t>1507..1536</t>
  </si>
  <si>
    <t>B5701_Gag_TW10</t>
  </si>
  <si>
    <t>B57_Gag_TW10</t>
  </si>
  <si>
    <t>original name should be B57_Gag_TW10</t>
  </si>
  <si>
    <t>TVLDVGDAY</t>
  </si>
  <si>
    <t>RT(107-115)</t>
  </si>
  <si>
    <t>2868..2894</t>
  </si>
  <si>
    <t>B3501_Pol_TY9</t>
  </si>
  <si>
    <t>B35_Pol_TY9</t>
  </si>
  <si>
    <t>original name should be B35_Pol_TY9</t>
  </si>
  <si>
    <t>TVYYGVPVWK</t>
  </si>
  <si>
    <t>gp120(37-46)</t>
  </si>
  <si>
    <t>6333..6362</t>
  </si>
  <si>
    <t>A0301_gp160_TK10</t>
  </si>
  <si>
    <t>A03_gp160_TK10</t>
  </si>
  <si>
    <t>original name should be A03_gp160_TK10</t>
  </si>
  <si>
    <t>TWEAWWTEYW</t>
  </si>
  <si>
    <t>RT(397-406)</t>
  </si>
  <si>
    <t>3738..3767</t>
  </si>
  <si>
    <t>B*49</t>
  </si>
  <si>
    <t>B49_Pol_TW10</t>
  </si>
  <si>
    <t>original name should be B49_Pol_TW10</t>
  </si>
  <si>
    <t>TWETWWTEYW</t>
  </si>
  <si>
    <t>VFAVLSIVNR</t>
  </si>
  <si>
    <t>gp41(187-196)</t>
  </si>
  <si>
    <t>8316..8345</t>
  </si>
  <si>
    <t>A3303_gp160_VR10</t>
  </si>
  <si>
    <t>A33_gp160_VR10</t>
  </si>
  <si>
    <t>original name should be A33_gp160_VR10</t>
  </si>
  <si>
    <t>VFTVLSIVNR</t>
  </si>
  <si>
    <t>VIPMFSAL</t>
  </si>
  <si>
    <t>p24(36-43)</t>
  </si>
  <si>
    <t>1291..1314</t>
  </si>
  <si>
    <t>Cw0102_Gag_VL8</t>
  </si>
  <si>
    <t>Cw01_Gag_VL8</t>
  </si>
  <si>
    <t>VIYQYMDDL</t>
  </si>
  <si>
    <t>RT(179-187)</t>
  </si>
  <si>
    <t>3084..3110</t>
  </si>
  <si>
    <t>A0201_Pol_VL9</t>
  </si>
  <si>
    <t>A02_Pol_VL9</t>
  </si>
  <si>
    <t>original name should be A02_Pol_VL9</t>
  </si>
  <si>
    <t>VKNWMTETL</t>
  </si>
  <si>
    <t>p24(181-189)</t>
  </si>
  <si>
    <t>1726..1752</t>
  </si>
  <si>
    <t>B*4801</t>
  </si>
  <si>
    <t>B4801_Gag_VL9</t>
  </si>
  <si>
    <t>original name should be B48_Gag_VL9</t>
  </si>
  <si>
    <t>VKVIEEKAF</t>
  </si>
  <si>
    <t>p24(24-32)</t>
  </si>
  <si>
    <t>1255..1281</t>
  </si>
  <si>
    <t>B1503_Gag_VF9</t>
  </si>
  <si>
    <t>original name should be B15_Gag_VF9</t>
  </si>
  <si>
    <t>VKVVEEKAF</t>
  </si>
  <si>
    <t>VLEWRFDSRL</t>
  </si>
  <si>
    <t>9334..9363</t>
  </si>
  <si>
    <t>A0201_Nef_VL10</t>
  </si>
  <si>
    <t>A02_Nef_VL10</t>
  </si>
  <si>
    <t>original name should be A02_Nef_VL10</t>
  </si>
  <si>
    <t>VLVWKFDSRL</t>
  </si>
  <si>
    <t>VPLDEDFRKY</t>
  </si>
  <si>
    <t>RT(118-127)</t>
  </si>
  <si>
    <t>2901..2930</t>
  </si>
  <si>
    <t>B3501_Pol_VY10</t>
  </si>
  <si>
    <t>B35_Pol_VY10</t>
  </si>
  <si>
    <t>original name should be B35_Pol_VY10</t>
  </si>
  <si>
    <t>VPLDKDFRKY</t>
  </si>
  <si>
    <t>VPLRPMTY</t>
  </si>
  <si>
    <t>9016..9039</t>
  </si>
  <si>
    <t>B3501_Nef_VY8</t>
  </si>
  <si>
    <t>B35_Nef_VY8</t>
  </si>
  <si>
    <t>original name should be B35_Nef_VY8</t>
  </si>
  <si>
    <t>VPRRKAKII</t>
  </si>
  <si>
    <t>Integrase(260-268)</t>
  </si>
  <si>
    <t>5007..5033</t>
  </si>
  <si>
    <t>B42_Pol_VI9</t>
  </si>
  <si>
    <t>original name should be B42_Pol_VI9</t>
  </si>
  <si>
    <t>VPVWKEATTT</t>
  </si>
  <si>
    <t>gp120(42-51)</t>
  </si>
  <si>
    <t>6348..6377</t>
  </si>
  <si>
    <t>B*5501</t>
  </si>
  <si>
    <t>B5501_gp160_VT10</t>
  </si>
  <si>
    <t>B55_gp160_VT10</t>
  </si>
  <si>
    <t>original name should be B55_gp160_VT10</t>
  </si>
  <si>
    <t>VPVWKEATTTL</t>
  </si>
  <si>
    <t>gp120(42-52)</t>
  </si>
  <si>
    <t>6348..6380</t>
  </si>
  <si>
    <t>B3501_gp160_VL11</t>
  </si>
  <si>
    <t>B35_gp160_VL11</t>
  </si>
  <si>
    <t>original name should be B35_gp160_VL11</t>
  </si>
  <si>
    <t>VQNLQGQMV</t>
  </si>
  <si>
    <t>p24(3-11)</t>
  </si>
  <si>
    <t>1192..1218</t>
  </si>
  <si>
    <t>B13_Gag_VV9</t>
  </si>
  <si>
    <t>original name should be B13_Gag_VV9</t>
  </si>
  <si>
    <t>VQNIQGQMV</t>
  </si>
  <si>
    <t>VRDQAEHL</t>
  </si>
  <si>
    <t>Integrase(165-172)</t>
  </si>
  <si>
    <t>4722..4745</t>
  </si>
  <si>
    <t>Cw18_Pol_VL8</t>
  </si>
  <si>
    <t>VRHFPRIWL</t>
  </si>
  <si>
    <t>5649..5675</t>
  </si>
  <si>
    <t>B27_Vpr_VL9</t>
  </si>
  <si>
    <t>original name should be B27_Vpr_VL9</t>
  </si>
  <si>
    <t>VRMYSPVSI</t>
  </si>
  <si>
    <t>p24(142-150)</t>
  </si>
  <si>
    <t>1609..1635</t>
  </si>
  <si>
    <t>B14_Gag_VI9</t>
  </si>
  <si>
    <t>original name should be B14_Gag_VI9</t>
  </si>
  <si>
    <t>VRMYSPTSI</t>
  </si>
  <si>
    <t>VTDSQYALGI</t>
  </si>
  <si>
    <t>RT(496-505)</t>
  </si>
  <si>
    <t>4035..4064</t>
  </si>
  <si>
    <t>B1503_Pol_VI10</t>
  </si>
  <si>
    <t>original name should be B15_Pol_VI10</t>
  </si>
  <si>
    <t>VYYDPSKDL</t>
  </si>
  <si>
    <t>RT(317-325)</t>
  </si>
  <si>
    <t>3498...3525</t>
  </si>
  <si>
    <t>A*24</t>
  </si>
  <si>
    <t>A24_Pol_VL9</t>
  </si>
  <si>
    <t>original name should be A24_Pol_VL9</t>
  </si>
  <si>
    <t>WASRELERF</t>
  </si>
  <si>
    <t>p17(36-44)</t>
  </si>
  <si>
    <t>895..921</t>
  </si>
  <si>
    <t>B3501_Gag_WF9</t>
  </si>
  <si>
    <t>B35_Gag_WF9</t>
  </si>
  <si>
    <t>original name should be B35_Gag_WF9</t>
  </si>
  <si>
    <t>WHLGHGVSI</t>
  </si>
  <si>
    <t>5275..5301</t>
  </si>
  <si>
    <t>B1510_Vif_WI9</t>
  </si>
  <si>
    <t>original name should be B15_Vif_WI9</t>
  </si>
  <si>
    <t>WHLGQGVSI</t>
  </si>
  <si>
    <t>B3801_Vif_WI9</t>
  </si>
  <si>
    <t>original name should be B38_Vif_WI9</t>
  </si>
  <si>
    <t>WPTVRERM</t>
  </si>
  <si>
    <t>8833..8856</t>
  </si>
  <si>
    <t>B0801_Nef_WM8</t>
  </si>
  <si>
    <t>B08_Nef_WM8</t>
  </si>
  <si>
    <t>original name should be B08_Nef_WM8</t>
  </si>
  <si>
    <t>WQRPLVTI*</t>
  </si>
  <si>
    <t>WQRPLVTI</t>
  </si>
  <si>
    <t>Protease(6-13)</t>
  </si>
  <si>
    <t>2268..2295</t>
  </si>
  <si>
    <t>B*52</t>
  </si>
  <si>
    <t>B52_Pol_WI8</t>
  </si>
  <si>
    <t>original name should be B52_Pol_WI8</t>
  </si>
  <si>
    <t>WQRPLVTIK</t>
  </si>
  <si>
    <t>WRFDSRLAF</t>
  </si>
  <si>
    <t>9343..9369</t>
  </si>
  <si>
    <t>B1503_Nef_WF9</t>
  </si>
  <si>
    <t>original name should be B15_Nef_WF9</t>
  </si>
  <si>
    <t>WKFDSRLAF</t>
  </si>
  <si>
    <t>WRFDSRLAFH*</t>
  </si>
  <si>
    <t>WRFDSRLAFH</t>
  </si>
  <si>
    <t>Nef(183-192)</t>
  </si>
  <si>
    <t>A0101_Nef_WH10</t>
  </si>
  <si>
    <t>original namake should be A01_Nef_WH10</t>
  </si>
  <si>
    <t>YETEVHNVW</t>
  </si>
  <si>
    <t>gp120(61-69)</t>
  </si>
  <si>
    <t>6405..6431</t>
  </si>
  <si>
    <t>B1801_gp160_YW9</t>
  </si>
  <si>
    <t>B18_gp160_YW9</t>
  </si>
  <si>
    <t>original name should be B18_gp160_YW9</t>
  </si>
  <si>
    <t>YDTEVHNVW</t>
  </si>
  <si>
    <t>YFPDWQNYT</t>
  </si>
  <si>
    <t>9154..9180</t>
  </si>
  <si>
    <t>YFPD*QNYT</t>
  </si>
  <si>
    <t>A29_Nef_YT9</t>
  </si>
  <si>
    <t>original name should be A29_Nef_YT9</t>
  </si>
  <si>
    <t>YLKDQQLL**</t>
  </si>
  <si>
    <t>YLKDQQLL</t>
  </si>
  <si>
    <t>gp41(75-82)</t>
  </si>
  <si>
    <t>7980..8003</t>
  </si>
  <si>
    <t>B0801_gp160_YL8</t>
  </si>
  <si>
    <t>B08_gp160_YL8</t>
  </si>
  <si>
    <t>original name should be B08_gp160_YL8</t>
  </si>
  <si>
    <t>YPGIKVRQL</t>
  </si>
  <si>
    <t>RT(271-279)</t>
  </si>
  <si>
    <t>3360..3386</t>
  </si>
  <si>
    <t>B*4201</t>
  </si>
  <si>
    <t>B4201_Pol_YL9</t>
  </si>
  <si>
    <t>orignal name should be B42_Pol_YL9</t>
  </si>
  <si>
    <t>YAGIKVKQL</t>
  </si>
  <si>
    <t>YPLTFGWCF</t>
  </si>
  <si>
    <t>9199..9225</t>
  </si>
  <si>
    <t>B53_Nef_YF9</t>
  </si>
  <si>
    <t>original name should be B53_Nef_YF9</t>
  </si>
  <si>
    <t>YPLTFGWCY</t>
  </si>
  <si>
    <t>B*1801, B*5301</t>
  </si>
  <si>
    <t>B1801_Nef_YY9</t>
  </si>
  <si>
    <t>B18_Nef_YY9</t>
  </si>
  <si>
    <t>original name should be B18_Nef_YY9</t>
  </si>
  <si>
    <t>YRLGVGALI</t>
  </si>
  <si>
    <t>6074..6100</t>
  </si>
  <si>
    <t>Cw18_Vpu_YI9</t>
  </si>
  <si>
    <t>original name should be Cw18_Vpu_YI9</t>
  </si>
  <si>
    <t>QILAIVALV</t>
  </si>
  <si>
    <t>PIVAIVALV</t>
  </si>
  <si>
    <t>YSPVSILDI</t>
  </si>
  <si>
    <t>p24(145-153)</t>
  </si>
  <si>
    <t>1618..1644</t>
  </si>
  <si>
    <t>CRF01_A</t>
  </si>
  <si>
    <t>Cw0102_Gag_YI9</t>
  </si>
  <si>
    <t>Cw01_Gag_YI9</t>
  </si>
  <si>
    <t>original name should be Cw01_Gag_YI9</t>
  </si>
  <si>
    <t>YSPTSILDI</t>
  </si>
  <si>
    <t>YTAFTIPSV</t>
  </si>
  <si>
    <t>RT(127-135)</t>
  </si>
  <si>
    <t>2928..2954</t>
  </si>
  <si>
    <t>A02_Pol_YV9</t>
  </si>
  <si>
    <t>A02_Pol_YI9</t>
  </si>
  <si>
    <t>original name should be A02_Pol_YV9</t>
  </si>
  <si>
    <t>YTAFTIPSI</t>
  </si>
  <si>
    <t>YTPGPGIRY</t>
  </si>
  <si>
    <t>9175..9201</t>
  </si>
  <si>
    <t>B57_Nef_YY9</t>
  </si>
  <si>
    <t>original name should be B57_Nef_YY9</t>
  </si>
  <si>
    <t>YTPGPGVRY</t>
  </si>
  <si>
    <t>YVDRFFKTL</t>
  </si>
  <si>
    <t>p24(164-172)</t>
  </si>
  <si>
    <t>1675..1701</t>
  </si>
  <si>
    <t>B*1503, Cw*0303, Cw*0304</t>
  </si>
  <si>
    <t>B1503_Gag_YL9</t>
  </si>
  <si>
    <t>original name should be B15_Gag_YL9</t>
  </si>
  <si>
    <t>YVDRFYKTL</t>
  </si>
  <si>
    <t>A0207_Gag_YL9</t>
  </si>
  <si>
    <t>A02_Gag_YL9</t>
  </si>
  <si>
    <t>original should be A02_Gag_YL9</t>
  </si>
  <si>
    <t>VLAEAMSQV</t>
  </si>
  <si>
    <t>1873..1899</t>
  </si>
  <si>
    <t>A02_Gag_VV9</t>
  </si>
  <si>
    <t>Additional_Epitopes_20240410_CladeB</t>
  </si>
  <si>
    <t>LTFGWCYKLV</t>
  </si>
  <si>
    <t>9205..9234</t>
  </si>
  <si>
    <t>A02_Nef_LV10</t>
  </si>
  <si>
    <t>LTFGWCFKLV</t>
  </si>
  <si>
    <t>RILQQLLFI</t>
  </si>
  <si>
    <t>5742..5768</t>
  </si>
  <si>
    <t>A02_Vpr_RI9</t>
  </si>
  <si>
    <t>RLAFHHVAR</t>
  </si>
  <si>
    <t>9358..9384</t>
  </si>
  <si>
    <t>A03_Nef_RR9</t>
  </si>
  <si>
    <t>RLAFHHMAR</t>
  </si>
  <si>
    <t>GVGGPGHK</t>
  </si>
  <si>
    <t>1843..1866</t>
  </si>
  <si>
    <t>A11_Gag_GK8</t>
  </si>
  <si>
    <t>A11_Nef_ALK9</t>
  </si>
  <si>
    <t>A11_Nef_QK10</t>
  </si>
  <si>
    <t>A11_Pol_AK10</t>
  </si>
  <si>
    <t>A11_Pol_AK9</t>
  </si>
  <si>
    <t>LRSLCLFSY</t>
  </si>
  <si>
    <t>8502..8528</t>
  </si>
  <si>
    <t>A23_gp160_LY9</t>
  </si>
  <si>
    <t>A23_gp160_RL9</t>
  </si>
  <si>
    <t>FNCGGEFFY</t>
  </si>
  <si>
    <t>7350..7376</t>
  </si>
  <si>
    <t>A29_gp160_FY9</t>
  </si>
  <si>
    <t>SFNCGGEFFY</t>
  </si>
  <si>
    <t>7347..7376</t>
  </si>
  <si>
    <t>A29_gp160_SY10</t>
  </si>
  <si>
    <t>A31_gp160_RR11</t>
  </si>
  <si>
    <t>A74_Pol_IV9</t>
  </si>
  <si>
    <t>B07_Gag_HA9</t>
  </si>
  <si>
    <t>B13_Gag_RI9</t>
  </si>
  <si>
    <t>B14_Rev_SL9</t>
  </si>
  <si>
    <t>FRNQRKIVK</t>
  </si>
  <si>
    <t>1936..1962</t>
  </si>
  <si>
    <t>B27_Gag_FK9</t>
  </si>
  <si>
    <t>FRNQRKTVK</t>
  </si>
  <si>
    <t>QRGNFRNQRK</t>
  </si>
  <si>
    <t>1924..1953</t>
  </si>
  <si>
    <t>B27_Gag_QK10</t>
  </si>
  <si>
    <t>B35_Nef_YT9</t>
  </si>
  <si>
    <t>B44_Gag_LY9</t>
  </si>
  <si>
    <t>B44_gp160_AY9</t>
  </si>
  <si>
    <t>B49_Nef_YY9</t>
  </si>
  <si>
    <t>EKEGKISKI</t>
  </si>
  <si>
    <t>2673..2699</t>
  </si>
  <si>
    <t>B51_Pol_EI9-RT</t>
  </si>
  <si>
    <t>B51_Pol_IL9</t>
  </si>
  <si>
    <t>B51_Pol_LI9</t>
  </si>
  <si>
    <t>RPLVTIKI</t>
  </si>
  <si>
    <t>2274..2297</t>
  </si>
  <si>
    <t>B51_Pol_RI8</t>
  </si>
  <si>
    <t>EPVDPRLEPW</t>
  </si>
  <si>
    <t>5834..5863</t>
  </si>
  <si>
    <t>B53_Tat_EW10</t>
  </si>
  <si>
    <t>B57_Gag_QW9</t>
  </si>
  <si>
    <t>B58_Gag_QW9</t>
  </si>
  <si>
    <t>B58_Gag_RY11</t>
  </si>
  <si>
    <t>B58_Gag_TQW10</t>
  </si>
  <si>
    <t>B58_Nef_HW9</t>
  </si>
  <si>
    <t>B58_Pol_IW9</t>
  </si>
  <si>
    <t>B58_Rev_KY10</t>
  </si>
  <si>
    <t>B81_Gag_TL9</t>
  </si>
  <si>
    <t>B81_Vpr_FL9</t>
  </si>
  <si>
    <t>Cw03_Gag_YL9</t>
  </si>
  <si>
    <t>Cw03_gp160_RL9</t>
  </si>
  <si>
    <t>Cw04_gp160_SF9</t>
  </si>
  <si>
    <t>Cw07_Nef_RY11</t>
  </si>
  <si>
    <t>Cw08_Gag_TL9</t>
  </si>
  <si>
    <t>Cw12_Pol_IY10</t>
  </si>
  <si>
    <t>Cw12_Pol_KY9</t>
  </si>
  <si>
    <t>Cw15_gp160_RL9</t>
  </si>
  <si>
    <t>Cw18_Gag_VI9</t>
  </si>
  <si>
    <t>RTSKAPLER*</t>
  </si>
  <si>
    <t>RTSKAPLER</t>
  </si>
  <si>
    <t>4937..4966</t>
  </si>
  <si>
    <t>Cw18_Pol_RR9</t>
  </si>
  <si>
    <t>RTSKASLER*</t>
  </si>
  <si>
    <t>DRWEKIRLRPG</t>
  </si>
  <si>
    <t>829..861</t>
  </si>
  <si>
    <t>B40_Gag_DG11</t>
  </si>
  <si>
    <t>DKWEKIRLRPG</t>
  </si>
  <si>
    <t>853..879</t>
  </si>
  <si>
    <t>B0702_Gag_RM9</t>
  </si>
  <si>
    <t>LETSEGCRQI</t>
  </si>
  <si>
    <t>940..969</t>
  </si>
  <si>
    <t>B40_Gag_LI10</t>
  </si>
  <si>
    <t>GQMVHQAI</t>
  </si>
  <si>
    <t>1207..1230</t>
  </si>
  <si>
    <t>B1302_Gag_GI8</t>
  </si>
  <si>
    <t>APRKKGCWK</t>
  </si>
  <si>
    <t>2008..2034</t>
  </si>
  <si>
    <t>B0702_Gag_AK9</t>
  </si>
  <si>
    <t>2898..2927</t>
  </si>
  <si>
    <t>A1101_Pol_SK10</t>
  </si>
  <si>
    <t>A0206_Pol_YI9</t>
  </si>
  <si>
    <t>IRYQYNVLP</t>
  </si>
  <si>
    <t>2973..2999</t>
  </si>
  <si>
    <t>B73_Pol_IP9</t>
  </si>
  <si>
    <t>SPAIFQSSMTK</t>
  </si>
  <si>
    <t>3015..3047</t>
  </si>
  <si>
    <t>A1101_Pol_SK11</t>
  </si>
  <si>
    <t>3078..3104</t>
  </si>
  <si>
    <t>B1801_Pol_ED9</t>
  </si>
  <si>
    <t>VIYQYMDDLYV</t>
  </si>
  <si>
    <t>3084..3116</t>
  </si>
  <si>
    <t>A0201_Pol_VV11</t>
  </si>
  <si>
    <t>ETFYVDGA</t>
  </si>
  <si>
    <t>3861..3884</t>
  </si>
  <si>
    <t>A6802_Pol_EA8</t>
  </si>
  <si>
    <t>VTDSQYAL</t>
  </si>
  <si>
    <t>4035..4058</t>
  </si>
  <si>
    <t>C08_Pol_VL8</t>
  </si>
  <si>
    <t>4197..4226</t>
  </si>
  <si>
    <t>A0201_Pol_KV10</t>
  </si>
  <si>
    <t>HTDNGSNFT</t>
  </si>
  <si>
    <t>4569..4595</t>
  </si>
  <si>
    <t>C05_Pol_HT9</t>
  </si>
  <si>
    <t>LQKQITKI</t>
  </si>
  <si>
    <t>4866..4889</t>
  </si>
  <si>
    <t>B5201_Pol_LI8</t>
  </si>
  <si>
    <t>4908..4934</t>
  </si>
  <si>
    <t>B38_Pol_YW9</t>
  </si>
  <si>
    <t>YRDSRDPLW</t>
  </si>
  <si>
    <t>VVPRRKAKII</t>
  </si>
  <si>
    <t>5004..5033</t>
  </si>
  <si>
    <t>B0801_Pol_VI10</t>
  </si>
  <si>
    <t>RKAKIIRDYGK</t>
  </si>
  <si>
    <t>5016..5048</t>
  </si>
  <si>
    <t>B0801_Pol_RK11</t>
  </si>
  <si>
    <t>KIIRDYGK</t>
  </si>
  <si>
    <t>5025..5048</t>
  </si>
  <si>
    <t>B0801_Pol_KK8</t>
  </si>
  <si>
    <t>5028..5054</t>
  </si>
  <si>
    <t>B4201_Pol_IM9</t>
  </si>
  <si>
    <t>IRTWKSLVK</t>
  </si>
  <si>
    <t>5092..5118</t>
  </si>
  <si>
    <t>A3001_Vif_IK9</t>
  </si>
  <si>
    <t>IRTWKSLVKH</t>
  </si>
  <si>
    <t>5092..5121</t>
  </si>
  <si>
    <t>B2705_Vif_IH10</t>
  </si>
  <si>
    <t>5299..5322</t>
  </si>
  <si>
    <t>B1801_Vif_IY8</t>
  </si>
  <si>
    <t>5997..6023</t>
  </si>
  <si>
    <t>B4402_Rev_EL9</t>
  </si>
  <si>
    <t>EELLKTVRL</t>
  </si>
  <si>
    <t>B58_Nef_AL9</t>
  </si>
  <si>
    <t>KEKGGLEGLIH</t>
  </si>
  <si>
    <t>9070..9102</t>
  </si>
  <si>
    <t>B4403_Nef_KY11</t>
  </si>
  <si>
    <t>KEKGGLEGLIY</t>
  </si>
  <si>
    <t>B4402_Nef_QY9</t>
  </si>
  <si>
    <t>GYFPD*QNY</t>
  </si>
  <si>
    <t>9151..9177</t>
  </si>
  <si>
    <t>B58_Nef_GY9</t>
  </si>
  <si>
    <t>GYFPDWQNY</t>
  </si>
  <si>
    <t>NYTPGPGVRY</t>
  </si>
  <si>
    <t>9172..9201</t>
  </si>
  <si>
    <t>A2402_Nef_NY10</t>
  </si>
  <si>
    <t>NYTPGPGIRY</t>
  </si>
  <si>
    <t>RYPLTFGWCY</t>
  </si>
  <si>
    <t>9196..9225</t>
  </si>
  <si>
    <t>A2402_Nef_RY10</t>
  </si>
  <si>
    <t>RYPLTFGWCF</t>
  </si>
  <si>
    <t>SRLAFHHVA</t>
  </si>
  <si>
    <t>9355..9381</t>
  </si>
  <si>
    <t>B8_Nef_SA9</t>
  </si>
  <si>
    <t>SRLAFHHMA</t>
  </si>
  <si>
    <t>A1101_Pol_AK9</t>
  </si>
  <si>
    <t>A1101_Nef_AK9</t>
  </si>
  <si>
    <t>A1101_Pol_AK10</t>
  </si>
  <si>
    <t>A66_Pol_ER11</t>
  </si>
  <si>
    <t>original name should be A66_Pol_ER11</t>
  </si>
  <si>
    <t>B*8101</t>
  </si>
  <si>
    <t>B8101_Vpr_FL9</t>
  </si>
  <si>
    <t>B*3901</t>
  </si>
  <si>
    <t>B3901_Gag_GL9</t>
  </si>
  <si>
    <t>original name should be B39_Gag_GL9</t>
  </si>
  <si>
    <t>B62_Gag_GY9</t>
  </si>
  <si>
    <t>original name should be B62_Gag_GY9</t>
  </si>
  <si>
    <t>B*5801</t>
  </si>
  <si>
    <t>B5801_Nef_HW9</t>
  </si>
  <si>
    <t>original name should be B58_Pol_IW9</t>
  </si>
  <si>
    <t>B5801_Pol_IW9</t>
  </si>
  <si>
    <t>Cw*1202</t>
  </si>
  <si>
    <t>Cw1202_Pol_IY10</t>
  </si>
  <si>
    <t>B5101_Pol_IL9</t>
  </si>
  <si>
    <t>B63_Gag_IW9</t>
  </si>
  <si>
    <t>original name should be B63_Gag_IW9</t>
  </si>
  <si>
    <t>original name should be A74_Pol_IV9</t>
  </si>
  <si>
    <t>A7401_Pol_IV9</t>
  </si>
  <si>
    <t>B58_Nef_KF9</t>
  </si>
  <si>
    <t>B5801_Nef_KF9</t>
  </si>
  <si>
    <t>B5703_Gag_KI8</t>
  </si>
  <si>
    <t>B63_Gag_KF11</t>
  </si>
  <si>
    <t>original name should be B63_Gag_KF11</t>
  </si>
  <si>
    <t>B63_Rev_KY10</t>
  </si>
  <si>
    <t>original name should be B63_Rev_KY10</t>
  </si>
  <si>
    <t>B5801_Rev_KY10</t>
  </si>
  <si>
    <t>Cw1202_Pol_KY9</t>
  </si>
  <si>
    <t>B50_Nef_LS9</t>
  </si>
  <si>
    <t>original name should be B50_Nef_LS9</t>
  </si>
  <si>
    <t>B63_Nef_LL9</t>
  </si>
  <si>
    <t>original name should be B63_Nef_LL9</t>
  </si>
  <si>
    <t>B*4403</t>
  </si>
  <si>
    <t>B4403_Gag_LY9</t>
  </si>
  <si>
    <t>B5701_Gag_QW9</t>
  </si>
  <si>
    <t>B5801_Gag_QW9</t>
  </si>
  <si>
    <t>A1101_Nef_QK10</t>
  </si>
  <si>
    <t>Cw*0304</t>
  </si>
  <si>
    <t>Cw0304_gp160_RL9</t>
  </si>
  <si>
    <t>A*3101</t>
  </si>
  <si>
    <t>A3101_gp160_RR11</t>
  </si>
  <si>
    <t>B62_Nef_RA9</t>
  </si>
  <si>
    <t>original name should be B62_Nef_RA9</t>
  </si>
  <si>
    <t>A63_Gag_RY11</t>
  </si>
  <si>
    <t>original name should be A63_Gag_RY11</t>
  </si>
  <si>
    <t>B63_Gag_RY11</t>
  </si>
  <si>
    <t>Cw07_Nef_RY10</t>
  </si>
  <si>
    <t>Cw*0401</t>
  </si>
  <si>
    <t>Cw0401_gp160_SF9</t>
  </si>
  <si>
    <t>RT(156-166)</t>
  </si>
  <si>
    <t>B0702_Pol_SK11</t>
  </si>
  <si>
    <t>B42_Nef_TL10</t>
  </si>
  <si>
    <t>original name should be B42_Nef_TL10</t>
  </si>
  <si>
    <t>B4201_Nef_TL10</t>
  </si>
  <si>
    <t>B*3910</t>
  </si>
  <si>
    <t>B39_Gag_TL9</t>
  </si>
  <si>
    <t>original name should be B39_Gag_TL9</t>
  </si>
  <si>
    <t>B3910_Gag_TL9</t>
  </si>
  <si>
    <t>B42_Gag_TL9</t>
  </si>
  <si>
    <t>original name should be B42_Gag_TL9</t>
  </si>
  <si>
    <t>B4201_Gag_TL9</t>
  </si>
  <si>
    <t>B8101_Gag_TL9</t>
  </si>
  <si>
    <t>Cw0802_Gag_TL9</t>
  </si>
  <si>
    <t>B5801_Gag_TW10</t>
  </si>
  <si>
    <t>Cw6_Nef_YT9</t>
  </si>
  <si>
    <t>original name should be Cw6_Nef_YT9</t>
  </si>
  <si>
    <t>B63_Nef_YY9</t>
  </si>
  <si>
    <t>original name should be B63_Nef_YY9</t>
  </si>
  <si>
    <t>Cw*0303, Cw*0304</t>
  </si>
  <si>
    <t>original name should be Cw03_Gag_YL9</t>
  </si>
  <si>
    <t>Cw0303_Gag_YL9</t>
  </si>
  <si>
    <t>RDYVDRFFKTL</t>
  </si>
  <si>
    <t>A2402_Gag_RFL11</t>
  </si>
  <si>
    <t>RT(117-126)</t>
  </si>
  <si>
    <t>RT(177-185)</t>
  </si>
  <si>
    <t>RT(550-559)</t>
  </si>
  <si>
    <t>Integrase(227-235)</t>
  </si>
  <si>
    <t>Integrase(267-275)</t>
  </si>
  <si>
    <t>QEILDLWVY</t>
  </si>
  <si>
    <t>Fernando_Approved_Name</t>
  </si>
  <si>
    <t>B0702_Gag_RK9</t>
  </si>
  <si>
    <t>EIVIYQYMD</t>
  </si>
  <si>
    <t>KLVSQGIRKV</t>
  </si>
  <si>
    <t>IIKDYGKQM</t>
  </si>
  <si>
    <t>IEWRLRRY</t>
  </si>
  <si>
    <t>RPGGKKHYM</t>
  </si>
  <si>
    <t xml:space="preserve"> B*4402</t>
  </si>
  <si>
    <t>SVPLDEGFRK</t>
  </si>
  <si>
    <t>C02_Nef_GY9</t>
  </si>
  <si>
    <t>B*53</t>
  </si>
  <si>
    <t>Env</t>
  </si>
  <si>
    <t>A0201_Env_RI10</t>
  </si>
  <si>
    <t>HXB2_GENOME_START</t>
  </si>
  <si>
    <t>HXB2_GENOME_END</t>
  </si>
  <si>
    <t>CLADEB_GENOME_START</t>
  </si>
  <si>
    <t>CLADEB_GENOME_END</t>
  </si>
  <si>
    <t>IGPGRAFYTT</t>
  </si>
  <si>
    <t>B4402_Gag_RL11</t>
  </si>
  <si>
    <t>B*3501, B*3542</t>
  </si>
  <si>
    <t>includes ELISpot alllele according to Rhoda's results</t>
  </si>
  <si>
    <t>A*0201, A*0202</t>
  </si>
  <si>
    <t>B*5701, B*5801, B*5703</t>
  </si>
  <si>
    <t>B*5301, B*5701, B*5801, B*5703</t>
  </si>
  <si>
    <t>B*3501, B*3508</t>
  </si>
  <si>
    <t>B*4402, B*4403</t>
  </si>
  <si>
    <t>B*5101, B*5108</t>
  </si>
  <si>
    <t>B*0801, A*2402</t>
  </si>
  <si>
    <t>A*2402, A*2403</t>
  </si>
  <si>
    <t>A*0301, A*1101, A*0302</t>
  </si>
  <si>
    <t>A*02, A*0201</t>
  </si>
  <si>
    <t>A*0207, A*0202, A*0201</t>
  </si>
  <si>
    <t>B*1302, B*0702</t>
  </si>
  <si>
    <t>B*1402, B*1401</t>
  </si>
  <si>
    <t>A*3002, A*3001</t>
  </si>
  <si>
    <t>A*30, A*3001</t>
  </si>
  <si>
    <t>Cw*0804, Cw*0802</t>
  </si>
  <si>
    <t>A*0205, A*0202</t>
  </si>
  <si>
    <t>B*40</t>
  </si>
  <si>
    <t>A*3002, B*58, B*63</t>
  </si>
  <si>
    <t>B*58</t>
  </si>
  <si>
    <t>B*63</t>
  </si>
  <si>
    <t>Cw*14</t>
  </si>
  <si>
    <t>B*13</t>
  </si>
  <si>
    <t>B*1302</t>
  </si>
  <si>
    <t>B*5701, B*63, B*5703</t>
  </si>
  <si>
    <t>B*5701, B*5703, B*63</t>
  </si>
  <si>
    <t>B*57</t>
  </si>
  <si>
    <t>B*3501, B*07</t>
  </si>
  <si>
    <t>B*1501, B*62</t>
  </si>
  <si>
    <t>B*62</t>
  </si>
  <si>
    <t>B*14, Cw*18</t>
  </si>
  <si>
    <t>Cw*18</t>
  </si>
  <si>
    <t>Cw*05</t>
  </si>
  <si>
    <t>A*02</t>
  </si>
  <si>
    <t>B*27</t>
  </si>
  <si>
    <t>B*14</t>
  </si>
  <si>
    <t>B*4801, B*13</t>
  </si>
  <si>
    <t>B*51</t>
  </si>
  <si>
    <t>B*44</t>
  </si>
  <si>
    <t>B*81</t>
  </si>
  <si>
    <t>A*0206, A*0201</t>
  </si>
  <si>
    <t>B*18</t>
  </si>
  <si>
    <t>B*73</t>
  </si>
  <si>
    <t>A*1101, B*0702</t>
  </si>
  <si>
    <t>A*1101, A*0321N</t>
  </si>
  <si>
    <t>A*0301, A*0321N</t>
  </si>
  <si>
    <t>A*2601, A*66</t>
  </si>
  <si>
    <t>A*66</t>
  </si>
  <si>
    <t>Cw*08</t>
  </si>
  <si>
    <t>A*0301, A*1101, A*0321N</t>
  </si>
  <si>
    <t>B*38</t>
  </si>
  <si>
    <t>B*42</t>
  </si>
  <si>
    <t>A*3001</t>
  </si>
  <si>
    <t>B*51, B*5108</t>
  </si>
  <si>
    <t>Cw*12</t>
  </si>
  <si>
    <t>B*5701, B*5801, B*63</t>
  </si>
  <si>
    <t>B*1801, B*44</t>
  </si>
  <si>
    <t>Cw*01, Cw*0102</t>
  </si>
  <si>
    <t>A*29</t>
  </si>
  <si>
    <t>Cw*15</t>
  </si>
  <si>
    <t>A*23</t>
  </si>
  <si>
    <t>A*2402, A*23</t>
  </si>
  <si>
    <t>B*08</t>
  </si>
  <si>
    <t>B*15, B*62</t>
  </si>
  <si>
    <t>B*4001, B*50</t>
  </si>
  <si>
    <t>B*50</t>
  </si>
  <si>
    <t>B*35, B*3543</t>
  </si>
  <si>
    <t>Cw*03, Cw*0304</t>
  </si>
  <si>
    <t>Cw*07, Cw*0701, Cw*0702</t>
  </si>
  <si>
    <t>B*5703, B*5801, B*57</t>
  </si>
  <si>
    <t>B*58, Cw*02</t>
  </si>
  <si>
    <t>Cw*02</t>
  </si>
  <si>
    <t>B*35</t>
  </si>
  <si>
    <t>Cw*06</t>
  </si>
  <si>
    <t>B*57, B*63</t>
  </si>
  <si>
    <t>A*33</t>
  </si>
  <si>
    <t>A*2402, Cw*07</t>
  </si>
  <si>
    <t>Cw*07</t>
  </si>
  <si>
    <t>A*03</t>
  </si>
  <si>
    <t>A*7401</t>
  </si>
  <si>
    <t>YQYMDDLYV</t>
  </si>
  <si>
    <t>A0201</t>
  </si>
  <si>
    <t>B*53, B*58</t>
  </si>
  <si>
    <t>A01_Nef_YT9</t>
  </si>
  <si>
    <t>B*1503, B*1510</t>
  </si>
  <si>
    <t>B*0702, B*0701</t>
  </si>
  <si>
    <t>B*07, B*3542</t>
  </si>
  <si>
    <t>B*3501, B*5101, B*5108</t>
  </si>
  <si>
    <t>B*4403, A*3001</t>
  </si>
  <si>
    <t>B*18, Cw*0702</t>
  </si>
  <si>
    <t>A*3002, A*3001, B*4403</t>
  </si>
  <si>
    <t>B*58, B*14</t>
  </si>
  <si>
    <r>
      <t xml:space="preserve">A*29, B*3501, Cw*06, </t>
    </r>
    <r>
      <rPr>
        <sz val="12"/>
        <rFont val="Calibri (Body)"/>
      </rPr>
      <t>B*5701</t>
    </r>
  </si>
  <si>
    <t>B*57, B*5801, B*5703</t>
  </si>
  <si>
    <t>B*51,B*5108</t>
  </si>
  <si>
    <t>A*0301, A*1101, B*2705, A*0321N</t>
  </si>
  <si>
    <t>B*51, Cw*0304, Cw*15, Cw*0302, B*5101</t>
  </si>
  <si>
    <t>B*49, B*4901</t>
  </si>
  <si>
    <t>A*02, A*0201, A*0205</t>
  </si>
  <si>
    <t>B*13, B*1302</t>
  </si>
  <si>
    <t>B*13, B*5101, B*5108, B*1302</t>
  </si>
  <si>
    <t>B*57, B*5701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</si>
</sst>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4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justify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18">
    <dxf>
      <font>
        <b/>
        <i val="0"/>
        <color theme="7" tint="-0.24994659260841701"/>
      </font>
      <fill>
        <patternFill>
          <fgColor auto="1"/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7" tint="-0.24994659260841701"/>
      </font>
      <fill>
        <patternFill>
          <fgColor auto="1"/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63C51-83AC-9B47-8A66-DBA0BE6C1CE1}">
  <dimension ref="A1:X366"/>
  <sheetViews>
    <sheetView tabSelected="1" zoomScaleNormal="100" workbookViewId="0">
      <pane ySplit="1" topLeftCell="A2" activePane="bottomLeft" state="frozen"/>
      <selection pane="bottomLeft" activeCell="G31" sqref="G31"/>
    </sheetView>
  </sheetViews>
  <sheetFormatPr baseColWidth="10" defaultRowHeight="17" customHeight="1" x14ac:dyDescent="0.2"/>
  <cols>
    <col min="1" max="1" width="19.1640625" style="1" customWidth="1"/>
    <col min="2" max="2" width="19.33203125" style="1" customWidth="1"/>
    <col min="3" max="3" width="8.33203125" style="1" customWidth="1"/>
    <col min="4" max="4" width="11" style="1" customWidth="1"/>
    <col min="5" max="5" width="10.83203125" style="1"/>
    <col min="6" max="6" width="21.5" style="1" customWidth="1"/>
    <col min="7" max="7" width="10.83203125" style="1"/>
    <col min="8" max="9" width="10.83203125" style="1" customWidth="1"/>
    <col min="10" max="10" width="29.5" style="1" customWidth="1"/>
    <col min="11" max="11" width="21.1640625" style="1" customWidth="1"/>
    <col min="12" max="12" width="20.5" style="1" customWidth="1"/>
    <col min="13" max="14" width="37.6640625" style="1" customWidth="1"/>
    <col min="15" max="15" width="46.1640625" style="1" customWidth="1"/>
    <col min="16" max="16" width="24.33203125" style="1" customWidth="1"/>
    <col min="17" max="17" width="22.33203125" style="1" customWidth="1"/>
    <col min="18" max="18" width="22.5" style="1" customWidth="1"/>
    <col min="19" max="19" width="14.5" style="1" customWidth="1"/>
    <col min="20" max="20" width="15.33203125" style="1" customWidth="1"/>
    <col min="21" max="21" width="15.6640625" style="1" customWidth="1"/>
    <col min="22" max="22" width="17.33203125" style="1" customWidth="1"/>
    <col min="23" max="16384" width="10.83203125" style="1"/>
  </cols>
  <sheetData>
    <row r="1" spans="1:24" ht="17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1796</v>
      </c>
      <c r="L1" s="5" t="s">
        <v>1797</v>
      </c>
      <c r="M1" s="5" t="s">
        <v>10</v>
      </c>
      <c r="N1" s="5" t="s">
        <v>11</v>
      </c>
      <c r="O1" s="5" t="s">
        <v>12</v>
      </c>
      <c r="P1" s="5" t="s">
        <v>1783</v>
      </c>
      <c r="Q1" s="5" t="s">
        <v>1798</v>
      </c>
      <c r="R1" s="5" t="s">
        <v>1799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17</v>
      </c>
      <c r="X1" s="6" t="s">
        <v>18</v>
      </c>
    </row>
    <row r="2" spans="1:24" ht="17" customHeight="1" x14ac:dyDescent="0.2">
      <c r="A2" s="1" t="s">
        <v>350</v>
      </c>
      <c r="B2" s="1" t="s">
        <v>350</v>
      </c>
      <c r="C2" s="1" t="s">
        <v>37</v>
      </c>
      <c r="D2" s="1">
        <v>11</v>
      </c>
      <c r="E2" s="1">
        <v>19</v>
      </c>
      <c r="F2" s="1" t="s">
        <v>351</v>
      </c>
      <c r="G2" s="1" t="s">
        <v>352</v>
      </c>
      <c r="I2" s="1" t="s">
        <v>22</v>
      </c>
      <c r="J2" s="1" t="s">
        <v>79</v>
      </c>
      <c r="K2" s="1">
        <v>820</v>
      </c>
      <c r="L2" s="1">
        <v>846</v>
      </c>
      <c r="M2" s="1" t="s">
        <v>353</v>
      </c>
      <c r="N2" s="1" t="e">
        <v>#N/A</v>
      </c>
      <c r="O2" s="1" t="s">
        <v>354</v>
      </c>
      <c r="P2" s="1" t="s">
        <v>353</v>
      </c>
      <c r="Q2" s="1">
        <v>42</v>
      </c>
      <c r="R2" s="1">
        <v>68</v>
      </c>
      <c r="S2" s="1" t="s">
        <v>355</v>
      </c>
      <c r="T2" s="1" t="s">
        <v>350</v>
      </c>
      <c r="U2" s="1">
        <v>1</v>
      </c>
      <c r="V2" s="1">
        <v>0</v>
      </c>
      <c r="W2" s="1">
        <v>1</v>
      </c>
      <c r="X2" s="4" t="b">
        <v>1</v>
      </c>
    </row>
    <row r="3" spans="1:24" ht="17" customHeight="1" x14ac:dyDescent="0.2">
      <c r="A3" s="1" t="s">
        <v>1610</v>
      </c>
      <c r="B3" s="1" t="s">
        <v>1610</v>
      </c>
      <c r="C3" s="1" t="s">
        <v>37</v>
      </c>
      <c r="G3" s="1" t="s">
        <v>1611</v>
      </c>
      <c r="I3" s="1" t="s">
        <v>22</v>
      </c>
      <c r="J3" s="1" t="s">
        <v>1821</v>
      </c>
      <c r="K3" s="1">
        <v>829</v>
      </c>
      <c r="L3" s="1">
        <v>861</v>
      </c>
      <c r="M3" s="1" t="s">
        <v>1612</v>
      </c>
      <c r="N3" s="1" t="s">
        <v>1612</v>
      </c>
      <c r="O3" s="1" t="s">
        <v>1531</v>
      </c>
      <c r="P3" s="1" t="s">
        <v>1612</v>
      </c>
      <c r="Q3" s="1">
        <v>51</v>
      </c>
      <c r="R3" s="1">
        <v>83</v>
      </c>
      <c r="S3" s="1" t="s">
        <v>1613</v>
      </c>
      <c r="T3" s="1" t="s">
        <v>1610</v>
      </c>
      <c r="W3" s="1">
        <v>1</v>
      </c>
      <c r="X3" s="4" t="b">
        <v>1</v>
      </c>
    </row>
    <row r="4" spans="1:24" ht="17" customHeight="1" x14ac:dyDescent="0.2">
      <c r="A4" s="1" t="s">
        <v>707</v>
      </c>
      <c r="B4" s="1" t="s">
        <v>707</v>
      </c>
      <c r="C4" s="1" t="s">
        <v>37</v>
      </c>
      <c r="D4" s="1">
        <v>18</v>
      </c>
      <c r="E4" s="1">
        <v>26</v>
      </c>
      <c r="F4" s="1" t="s">
        <v>708</v>
      </c>
      <c r="G4" s="1" t="s">
        <v>709</v>
      </c>
      <c r="I4" s="1" t="s">
        <v>22</v>
      </c>
      <c r="J4" s="1" t="s">
        <v>107</v>
      </c>
      <c r="K4" s="1">
        <v>841</v>
      </c>
      <c r="L4" s="1">
        <v>867</v>
      </c>
      <c r="M4" s="1" t="s">
        <v>710</v>
      </c>
      <c r="N4" s="1" t="s">
        <v>711</v>
      </c>
      <c r="O4" s="1" t="s">
        <v>712</v>
      </c>
      <c r="P4" s="1" t="s">
        <v>710</v>
      </c>
      <c r="Q4" s="1">
        <v>63</v>
      </c>
      <c r="R4" s="1">
        <v>89</v>
      </c>
      <c r="S4" s="1" t="s">
        <v>707</v>
      </c>
      <c r="T4" s="1" t="s">
        <v>707</v>
      </c>
      <c r="U4" s="1">
        <v>0</v>
      </c>
      <c r="V4" s="1">
        <v>0</v>
      </c>
      <c r="W4" s="1">
        <v>0</v>
      </c>
      <c r="X4" s="4" t="b">
        <v>1</v>
      </c>
    </row>
    <row r="5" spans="1:24" ht="17" customHeight="1" x14ac:dyDescent="0.2">
      <c r="A5" s="1" t="s">
        <v>568</v>
      </c>
      <c r="B5" s="1" t="s">
        <v>568</v>
      </c>
      <c r="C5" s="1" t="s">
        <v>37</v>
      </c>
      <c r="D5" s="1">
        <v>19</v>
      </c>
      <c r="E5" s="1">
        <v>27</v>
      </c>
      <c r="F5" s="1" t="s">
        <v>569</v>
      </c>
      <c r="G5" s="1" t="s">
        <v>570</v>
      </c>
      <c r="H5" s="1" t="s">
        <v>31</v>
      </c>
      <c r="I5" s="1" t="s">
        <v>22</v>
      </c>
      <c r="J5" s="1" t="s">
        <v>419</v>
      </c>
      <c r="K5" s="1">
        <v>844</v>
      </c>
      <c r="L5" s="1">
        <v>870</v>
      </c>
      <c r="M5" s="1" t="s">
        <v>571</v>
      </c>
      <c r="N5" s="1" t="s">
        <v>572</v>
      </c>
      <c r="O5" s="1" t="s">
        <v>573</v>
      </c>
      <c r="P5" s="1" t="s">
        <v>571</v>
      </c>
      <c r="Q5" s="1">
        <v>66</v>
      </c>
      <c r="R5" s="1">
        <v>92</v>
      </c>
      <c r="S5" s="1" t="s">
        <v>568</v>
      </c>
      <c r="T5" s="1" t="s">
        <v>568</v>
      </c>
      <c r="U5" s="1">
        <v>0</v>
      </c>
      <c r="V5" s="1">
        <v>0</v>
      </c>
      <c r="W5" s="1">
        <v>0</v>
      </c>
      <c r="X5" s="4" t="b">
        <v>1</v>
      </c>
    </row>
    <row r="6" spans="1:24" ht="17" customHeight="1" x14ac:dyDescent="0.2">
      <c r="A6" s="1" t="s">
        <v>1023</v>
      </c>
      <c r="B6" s="1" t="s">
        <v>1023</v>
      </c>
      <c r="C6" s="1" t="s">
        <v>37</v>
      </c>
      <c r="D6" s="1">
        <v>20</v>
      </c>
      <c r="E6" s="1">
        <v>28</v>
      </c>
      <c r="F6" s="1" t="s">
        <v>1024</v>
      </c>
      <c r="G6" s="1" t="s">
        <v>1025</v>
      </c>
      <c r="I6" s="1" t="s">
        <v>22</v>
      </c>
      <c r="J6" s="1" t="s">
        <v>107</v>
      </c>
      <c r="K6" s="1">
        <v>847</v>
      </c>
      <c r="L6" s="1">
        <v>873</v>
      </c>
      <c r="M6" s="1" t="s">
        <v>1026</v>
      </c>
      <c r="N6" s="1" t="s">
        <v>1027</v>
      </c>
      <c r="O6" s="1" t="s">
        <v>1028</v>
      </c>
      <c r="P6" s="1" t="s">
        <v>1026</v>
      </c>
      <c r="Q6" s="1">
        <v>69</v>
      </c>
      <c r="R6" s="1">
        <v>95</v>
      </c>
      <c r="S6" s="1" t="s">
        <v>1023</v>
      </c>
      <c r="T6" s="1" t="s">
        <v>1023</v>
      </c>
      <c r="U6" s="1">
        <v>0</v>
      </c>
      <c r="V6" s="1">
        <v>0</v>
      </c>
      <c r="W6" s="1">
        <v>0</v>
      </c>
      <c r="X6" s="4" t="b">
        <v>1</v>
      </c>
    </row>
    <row r="7" spans="1:24" ht="17" customHeight="1" x14ac:dyDescent="0.2">
      <c r="A7" s="1" t="s">
        <v>1029</v>
      </c>
      <c r="B7" s="1" t="s">
        <v>1029</v>
      </c>
      <c r="C7" s="1" t="s">
        <v>37</v>
      </c>
      <c r="D7" s="1">
        <v>20</v>
      </c>
      <c r="E7" s="1">
        <v>29</v>
      </c>
      <c r="F7" s="1" t="s">
        <v>1030</v>
      </c>
      <c r="G7" s="1" t="s">
        <v>1031</v>
      </c>
      <c r="H7" s="1" t="s">
        <v>31</v>
      </c>
      <c r="I7" s="1" t="s">
        <v>22</v>
      </c>
      <c r="J7" s="1" t="s">
        <v>107</v>
      </c>
      <c r="K7" s="1">
        <v>847</v>
      </c>
      <c r="L7" s="1">
        <v>876</v>
      </c>
      <c r="M7" s="1" t="s">
        <v>1032</v>
      </c>
      <c r="N7" s="1" t="s">
        <v>1033</v>
      </c>
      <c r="O7" s="1" t="s">
        <v>1034</v>
      </c>
      <c r="P7" s="1" t="s">
        <v>1032</v>
      </c>
      <c r="Q7" s="1">
        <v>69</v>
      </c>
      <c r="R7" s="1">
        <v>98</v>
      </c>
      <c r="S7" s="1" t="s">
        <v>1029</v>
      </c>
      <c r="T7" s="1" t="s">
        <v>1029</v>
      </c>
      <c r="U7" s="1">
        <v>0</v>
      </c>
      <c r="V7" s="1">
        <v>0</v>
      </c>
      <c r="W7" s="1">
        <v>0</v>
      </c>
      <c r="X7" s="4" t="b">
        <v>1</v>
      </c>
    </row>
    <row r="8" spans="1:24" ht="17" customHeight="1" x14ac:dyDescent="0.2">
      <c r="A8" s="1" t="s">
        <v>1789</v>
      </c>
      <c r="B8" s="1" t="s">
        <v>1789</v>
      </c>
      <c r="C8" s="1" t="s">
        <v>37</v>
      </c>
      <c r="G8" s="1" t="s">
        <v>1614</v>
      </c>
      <c r="I8" s="1" t="s">
        <v>22</v>
      </c>
      <c r="J8" s="1" t="s">
        <v>307</v>
      </c>
      <c r="K8" s="1">
        <v>853</v>
      </c>
      <c r="L8" s="1">
        <v>879</v>
      </c>
      <c r="M8" s="1" t="s">
        <v>1615</v>
      </c>
      <c r="N8" s="1" t="s">
        <v>1615</v>
      </c>
      <c r="O8" s="1" t="s">
        <v>1531</v>
      </c>
      <c r="P8" s="1" t="s">
        <v>1784</v>
      </c>
      <c r="Q8" s="1">
        <v>75</v>
      </c>
      <c r="R8" s="1">
        <v>101</v>
      </c>
      <c r="S8" s="2" t="s">
        <v>1789</v>
      </c>
      <c r="T8" s="2" t="s">
        <v>1789</v>
      </c>
      <c r="W8" s="1">
        <v>0</v>
      </c>
      <c r="X8" s="4" t="b">
        <v>1</v>
      </c>
    </row>
    <row r="9" spans="1:24" ht="17" customHeight="1" x14ac:dyDescent="0.2">
      <c r="A9" s="1" t="s">
        <v>1063</v>
      </c>
      <c r="B9" s="1" t="s">
        <v>1063</v>
      </c>
      <c r="C9" s="1" t="s">
        <v>37</v>
      </c>
      <c r="D9" s="1">
        <v>22</v>
      </c>
      <c r="E9" s="1">
        <v>31</v>
      </c>
      <c r="F9" s="1" t="s">
        <v>1064</v>
      </c>
      <c r="G9" s="1" t="s">
        <v>1065</v>
      </c>
      <c r="H9" s="1" t="s">
        <v>31</v>
      </c>
      <c r="I9" s="1" t="s">
        <v>22</v>
      </c>
      <c r="J9" s="1" t="s">
        <v>1809</v>
      </c>
      <c r="K9" s="1">
        <v>853</v>
      </c>
      <c r="L9" s="1">
        <v>882</v>
      </c>
      <c r="M9" s="1" t="s">
        <v>1066</v>
      </c>
      <c r="N9" s="1" t="s">
        <v>1067</v>
      </c>
      <c r="O9" s="1" t="s">
        <v>26</v>
      </c>
      <c r="P9" s="1" t="s">
        <v>1066</v>
      </c>
      <c r="Q9" s="1">
        <v>75</v>
      </c>
      <c r="R9" s="1">
        <v>104</v>
      </c>
      <c r="S9" s="1" t="s">
        <v>1063</v>
      </c>
      <c r="T9" s="1" t="s">
        <v>1063</v>
      </c>
      <c r="U9" s="1">
        <v>0</v>
      </c>
      <c r="V9" s="1">
        <v>0</v>
      </c>
      <c r="W9" s="1">
        <v>0</v>
      </c>
      <c r="X9" s="4" t="b">
        <v>1</v>
      </c>
    </row>
    <row r="10" spans="1:24" ht="17" customHeight="1" x14ac:dyDescent="0.2">
      <c r="A10" s="1" t="s">
        <v>361</v>
      </c>
      <c r="B10" s="1" t="s">
        <v>361</v>
      </c>
      <c r="C10" s="1" t="s">
        <v>37</v>
      </c>
      <c r="D10" s="1">
        <v>24</v>
      </c>
      <c r="E10" s="1">
        <v>31</v>
      </c>
      <c r="F10" s="1" t="s">
        <v>362</v>
      </c>
      <c r="G10" s="1" t="s">
        <v>363</v>
      </c>
      <c r="H10" s="1" t="s">
        <v>31</v>
      </c>
      <c r="I10" s="1" t="s">
        <v>22</v>
      </c>
      <c r="J10" s="1" t="s">
        <v>145</v>
      </c>
      <c r="K10" s="1">
        <v>859</v>
      </c>
      <c r="L10" s="1">
        <v>882</v>
      </c>
      <c r="M10" s="1" t="s">
        <v>364</v>
      </c>
      <c r="N10" s="1" t="e">
        <v>#N/A</v>
      </c>
      <c r="O10" s="1" t="s">
        <v>365</v>
      </c>
      <c r="P10" s="1" t="s">
        <v>364</v>
      </c>
      <c r="Q10" s="1">
        <v>81</v>
      </c>
      <c r="R10" s="1">
        <v>104</v>
      </c>
      <c r="S10" s="1" t="s">
        <v>361</v>
      </c>
      <c r="T10" s="1" t="s">
        <v>361</v>
      </c>
      <c r="U10" s="1">
        <v>0</v>
      </c>
      <c r="V10" s="1">
        <v>0</v>
      </c>
      <c r="W10" s="1">
        <v>0</v>
      </c>
      <c r="X10" s="4" t="b">
        <v>1</v>
      </c>
    </row>
    <row r="11" spans="1:24" ht="17" customHeight="1" x14ac:dyDescent="0.2">
      <c r="A11" s="1" t="s">
        <v>366</v>
      </c>
      <c r="B11" s="1" t="s">
        <v>366</v>
      </c>
      <c r="C11" s="1" t="s">
        <v>37</v>
      </c>
      <c r="D11" s="1">
        <v>24</v>
      </c>
      <c r="E11" s="1">
        <v>32</v>
      </c>
      <c r="F11" s="1" t="s">
        <v>367</v>
      </c>
      <c r="G11" s="1" t="s">
        <v>368</v>
      </c>
      <c r="H11" s="1" t="s">
        <v>31</v>
      </c>
      <c r="I11" s="1" t="s">
        <v>22</v>
      </c>
      <c r="J11" s="1" t="s">
        <v>145</v>
      </c>
      <c r="K11" s="1">
        <v>859</v>
      </c>
      <c r="L11" s="1">
        <v>885</v>
      </c>
      <c r="M11" s="1" t="s">
        <v>369</v>
      </c>
      <c r="N11" s="1" t="s">
        <v>370</v>
      </c>
      <c r="O11" s="1" t="s">
        <v>371</v>
      </c>
      <c r="P11" s="1" t="s">
        <v>369</v>
      </c>
      <c r="Q11" s="1">
        <v>81</v>
      </c>
      <c r="R11" s="1">
        <v>107</v>
      </c>
      <c r="S11" s="1" t="s">
        <v>366</v>
      </c>
      <c r="T11" s="1" t="s">
        <v>366</v>
      </c>
      <c r="U11" s="1">
        <v>0</v>
      </c>
      <c r="V11" s="1">
        <v>0</v>
      </c>
      <c r="W11" s="1">
        <v>0</v>
      </c>
      <c r="X11" s="4" t="b">
        <v>1</v>
      </c>
    </row>
    <row r="12" spans="1:24" ht="17" customHeight="1" x14ac:dyDescent="0.2">
      <c r="A12" s="1" t="s">
        <v>772</v>
      </c>
      <c r="B12" s="1" t="s">
        <v>772</v>
      </c>
      <c r="C12" s="1" t="s">
        <v>37</v>
      </c>
      <c r="D12" s="1">
        <v>28</v>
      </c>
      <c r="E12" s="1">
        <v>36</v>
      </c>
      <c r="F12" s="1" t="s">
        <v>773</v>
      </c>
      <c r="G12" s="1" t="s">
        <v>774</v>
      </c>
      <c r="H12" s="1" t="s">
        <v>31</v>
      </c>
      <c r="I12" s="1" t="s">
        <v>22</v>
      </c>
      <c r="J12" s="1" t="s">
        <v>1811</v>
      </c>
      <c r="K12" s="1">
        <v>871</v>
      </c>
      <c r="L12" s="1">
        <v>897</v>
      </c>
      <c r="M12" s="1" t="s">
        <v>776</v>
      </c>
      <c r="N12" s="1" t="s">
        <v>777</v>
      </c>
      <c r="O12" s="1" t="s">
        <v>778</v>
      </c>
      <c r="P12" s="1" t="s">
        <v>776</v>
      </c>
      <c r="Q12" s="1">
        <v>93</v>
      </c>
      <c r="R12" s="1">
        <v>119</v>
      </c>
      <c r="S12" s="1" t="s">
        <v>772</v>
      </c>
      <c r="T12" s="1" t="s">
        <v>772</v>
      </c>
      <c r="U12" s="1">
        <v>0</v>
      </c>
      <c r="V12" s="1">
        <v>0</v>
      </c>
      <c r="W12" s="1">
        <v>0</v>
      </c>
      <c r="X12" s="4" t="b">
        <v>1</v>
      </c>
    </row>
    <row r="13" spans="1:24" ht="17" customHeight="1" x14ac:dyDescent="0.2">
      <c r="A13" s="1" t="s">
        <v>440</v>
      </c>
      <c r="B13" s="1" t="s">
        <v>440</v>
      </c>
      <c r="C13" s="1" t="s">
        <v>37</v>
      </c>
      <c r="D13" s="1">
        <v>33</v>
      </c>
      <c r="E13" s="1">
        <v>41</v>
      </c>
      <c r="F13" s="1" t="s">
        <v>441</v>
      </c>
      <c r="G13" s="1" t="s">
        <v>442</v>
      </c>
      <c r="I13" s="1" t="s">
        <v>22</v>
      </c>
      <c r="J13" s="1" t="s">
        <v>1819</v>
      </c>
      <c r="K13" s="1">
        <v>886</v>
      </c>
      <c r="L13" s="1">
        <v>912</v>
      </c>
      <c r="M13" s="1" t="s">
        <v>443</v>
      </c>
      <c r="N13" s="1" t="s">
        <v>444</v>
      </c>
      <c r="O13" s="1" t="s">
        <v>445</v>
      </c>
      <c r="P13" s="1" t="s">
        <v>443</v>
      </c>
      <c r="Q13" s="1">
        <v>108</v>
      </c>
      <c r="R13" s="1">
        <v>134</v>
      </c>
      <c r="S13" s="1" t="s">
        <v>446</v>
      </c>
      <c r="T13" s="1" t="s">
        <v>446</v>
      </c>
      <c r="U13" s="1">
        <v>1</v>
      </c>
      <c r="V13" s="1">
        <v>1</v>
      </c>
      <c r="W13" s="1">
        <v>0</v>
      </c>
      <c r="X13" s="4" t="b">
        <v>0</v>
      </c>
    </row>
    <row r="14" spans="1:24" ht="17" customHeight="1" x14ac:dyDescent="0.2">
      <c r="A14" s="1" t="s">
        <v>852</v>
      </c>
      <c r="B14" s="1" t="s">
        <v>852</v>
      </c>
      <c r="C14" s="1" t="s">
        <v>37</v>
      </c>
      <c r="D14" s="1">
        <v>34</v>
      </c>
      <c r="E14" s="1">
        <v>44</v>
      </c>
      <c r="F14" s="1" t="s">
        <v>853</v>
      </c>
      <c r="G14" s="1" t="s">
        <v>854</v>
      </c>
      <c r="I14" s="1" t="s">
        <v>22</v>
      </c>
      <c r="J14" s="1" t="s">
        <v>1818</v>
      </c>
      <c r="K14" s="1">
        <v>889</v>
      </c>
      <c r="L14" s="1">
        <v>921</v>
      </c>
      <c r="M14" s="1" t="s">
        <v>855</v>
      </c>
      <c r="N14" s="1" t="s">
        <v>855</v>
      </c>
      <c r="O14" s="1" t="s">
        <v>856</v>
      </c>
      <c r="P14" s="1" t="s">
        <v>855</v>
      </c>
      <c r="Q14" s="1">
        <v>111</v>
      </c>
      <c r="R14" s="1">
        <v>143</v>
      </c>
      <c r="S14" s="1" t="s">
        <v>857</v>
      </c>
      <c r="T14" s="1" t="s">
        <v>857</v>
      </c>
      <c r="U14" s="1">
        <v>1</v>
      </c>
      <c r="V14" s="1">
        <v>1</v>
      </c>
      <c r="W14" s="1">
        <v>0</v>
      </c>
      <c r="X14" s="4" t="b">
        <v>0</v>
      </c>
    </row>
    <row r="15" spans="1:24" ht="17" customHeight="1" x14ac:dyDescent="0.2">
      <c r="A15" s="1" t="s">
        <v>1421</v>
      </c>
      <c r="B15" s="1" t="s">
        <v>1421</v>
      </c>
      <c r="C15" s="1" t="s">
        <v>37</v>
      </c>
      <c r="D15" s="1">
        <v>36</v>
      </c>
      <c r="E15" s="1">
        <v>44</v>
      </c>
      <c r="F15" s="1" t="s">
        <v>1422</v>
      </c>
      <c r="G15" s="1" t="s">
        <v>1423</v>
      </c>
      <c r="H15" s="1" t="s">
        <v>31</v>
      </c>
      <c r="I15" s="1" t="s">
        <v>22</v>
      </c>
      <c r="J15" s="1" t="s">
        <v>152</v>
      </c>
      <c r="K15" s="1">
        <v>895</v>
      </c>
      <c r="L15" s="1">
        <v>921</v>
      </c>
      <c r="M15" s="1" t="s">
        <v>1424</v>
      </c>
      <c r="N15" s="1" t="s">
        <v>1425</v>
      </c>
      <c r="O15" s="1" t="s">
        <v>1426</v>
      </c>
      <c r="P15" s="1" t="s">
        <v>1424</v>
      </c>
      <c r="Q15" s="1">
        <v>117</v>
      </c>
      <c r="R15" s="1">
        <v>143</v>
      </c>
      <c r="S15" s="1" t="s">
        <v>1421</v>
      </c>
      <c r="T15" s="1" t="s">
        <v>1421</v>
      </c>
      <c r="U15" s="1">
        <v>0</v>
      </c>
      <c r="V15" s="1">
        <v>0</v>
      </c>
      <c r="W15" s="1">
        <v>0</v>
      </c>
      <c r="X15" s="4" t="b">
        <v>1</v>
      </c>
    </row>
    <row r="16" spans="1:24" ht="17" customHeight="1" x14ac:dyDescent="0.2">
      <c r="A16" s="1" t="s">
        <v>1616</v>
      </c>
      <c r="B16" s="1" t="s">
        <v>1616</v>
      </c>
      <c r="C16" s="1" t="s">
        <v>37</v>
      </c>
      <c r="D16" s="1">
        <v>51</v>
      </c>
      <c r="E16" s="1">
        <v>60</v>
      </c>
      <c r="G16" s="1" t="s">
        <v>1617</v>
      </c>
      <c r="I16" s="1" t="s">
        <v>22</v>
      </c>
      <c r="J16" s="1" t="s">
        <v>1821</v>
      </c>
      <c r="K16" s="1">
        <v>940</v>
      </c>
      <c r="L16" s="1">
        <v>969</v>
      </c>
      <c r="M16" s="1" t="s">
        <v>1618</v>
      </c>
      <c r="N16" s="1" t="s">
        <v>1618</v>
      </c>
      <c r="O16" s="1" t="s">
        <v>1531</v>
      </c>
      <c r="P16" s="1" t="s">
        <v>1618</v>
      </c>
      <c r="Q16" s="1">
        <v>162</v>
      </c>
      <c r="R16" s="1">
        <v>191</v>
      </c>
      <c r="S16" s="1" t="s">
        <v>1616</v>
      </c>
      <c r="T16" s="1" t="s">
        <v>1616</v>
      </c>
      <c r="W16" s="1">
        <v>0</v>
      </c>
      <c r="X16" s="4" t="b">
        <v>1</v>
      </c>
    </row>
    <row r="17" spans="1:24" ht="17" customHeight="1" x14ac:dyDescent="0.2">
      <c r="A17" s="1" t="s">
        <v>423</v>
      </c>
      <c r="B17" s="1" t="s">
        <v>424</v>
      </c>
      <c r="C17" s="1" t="s">
        <v>37</v>
      </c>
      <c r="D17" s="1">
        <v>71</v>
      </c>
      <c r="E17" s="1">
        <v>79</v>
      </c>
      <c r="F17" s="1" t="s">
        <v>425</v>
      </c>
      <c r="G17" s="1" t="s">
        <v>426</v>
      </c>
      <c r="I17" s="1" t="s">
        <v>22</v>
      </c>
      <c r="J17" s="1" t="s">
        <v>427</v>
      </c>
      <c r="K17" s="1">
        <v>1000</v>
      </c>
      <c r="L17" s="1">
        <v>1026</v>
      </c>
      <c r="M17" s="1" t="s">
        <v>428</v>
      </c>
      <c r="N17" s="1" t="s">
        <v>429</v>
      </c>
      <c r="O17" s="1" t="s">
        <v>430</v>
      </c>
      <c r="P17" s="1" t="s">
        <v>428</v>
      </c>
      <c r="Q17" s="1">
        <v>222</v>
      </c>
      <c r="R17" s="1">
        <v>248</v>
      </c>
      <c r="S17" s="1" t="s">
        <v>424</v>
      </c>
      <c r="T17" s="1" t="s">
        <v>424</v>
      </c>
      <c r="U17" s="1">
        <v>0</v>
      </c>
      <c r="V17" s="1">
        <v>0</v>
      </c>
      <c r="W17" s="1">
        <v>0</v>
      </c>
      <c r="X17" s="4" t="b">
        <v>1</v>
      </c>
    </row>
    <row r="18" spans="1:24" ht="17" customHeight="1" x14ac:dyDescent="0.2">
      <c r="A18" s="1" t="s">
        <v>206</v>
      </c>
      <c r="B18" s="1" t="s">
        <v>206</v>
      </c>
      <c r="C18" s="1" t="s">
        <v>37</v>
      </c>
      <c r="D18" s="1">
        <v>74</v>
      </c>
      <c r="E18" s="1">
        <v>82</v>
      </c>
      <c r="F18" s="1" t="s">
        <v>207</v>
      </c>
      <c r="G18" s="1" t="s">
        <v>208</v>
      </c>
      <c r="I18" s="1" t="s">
        <v>22</v>
      </c>
      <c r="J18" s="1" t="s">
        <v>145</v>
      </c>
      <c r="K18" s="1">
        <v>1009</v>
      </c>
      <c r="L18" s="1">
        <v>1035</v>
      </c>
      <c r="M18" s="1" t="s">
        <v>209</v>
      </c>
      <c r="N18" s="1" t="s">
        <v>210</v>
      </c>
      <c r="O18" s="1" t="s">
        <v>211</v>
      </c>
      <c r="P18" s="1" t="s">
        <v>209</v>
      </c>
      <c r="Q18" s="1">
        <v>231</v>
      </c>
      <c r="R18" s="1">
        <v>257</v>
      </c>
      <c r="S18" s="1" t="s">
        <v>206</v>
      </c>
      <c r="T18" s="1" t="s">
        <v>206</v>
      </c>
      <c r="U18" s="1">
        <v>0</v>
      </c>
      <c r="V18" s="1">
        <v>0</v>
      </c>
      <c r="W18" s="1">
        <v>0</v>
      </c>
      <c r="X18" s="4" t="b">
        <v>1</v>
      </c>
    </row>
    <row r="19" spans="1:24" ht="17" customHeight="1" x14ac:dyDescent="0.2">
      <c r="A19" s="1" t="s">
        <v>1140</v>
      </c>
      <c r="B19" s="1" t="s">
        <v>1140</v>
      </c>
      <c r="C19" s="1" t="s">
        <v>37</v>
      </c>
      <c r="D19" s="1">
        <v>76</v>
      </c>
      <c r="E19" s="1">
        <v>86</v>
      </c>
      <c r="F19" s="1" t="s">
        <v>1141</v>
      </c>
      <c r="G19" s="1" t="s">
        <v>1142</v>
      </c>
      <c r="H19" s="1" t="s">
        <v>31</v>
      </c>
      <c r="I19" s="1" t="s">
        <v>22</v>
      </c>
      <c r="J19" s="1" t="s">
        <v>1822</v>
      </c>
      <c r="K19" s="1">
        <v>1015</v>
      </c>
      <c r="L19" s="1">
        <v>1047</v>
      </c>
      <c r="M19" s="1" t="s">
        <v>1143</v>
      </c>
      <c r="N19" s="1" t="s">
        <v>1144</v>
      </c>
      <c r="O19" s="1" t="s">
        <v>1145</v>
      </c>
      <c r="P19" s="1" t="s">
        <v>1143</v>
      </c>
      <c r="Q19" s="1">
        <v>237</v>
      </c>
      <c r="R19" s="1">
        <v>269</v>
      </c>
      <c r="S19" s="1" t="s">
        <v>1140</v>
      </c>
      <c r="T19" s="1" t="s">
        <v>1140</v>
      </c>
      <c r="U19" s="1">
        <v>0</v>
      </c>
      <c r="V19" s="1">
        <v>0</v>
      </c>
      <c r="W19" s="1">
        <v>0</v>
      </c>
      <c r="X19" s="4" t="b">
        <v>1</v>
      </c>
    </row>
    <row r="20" spans="1:24" ht="17" customHeight="1" x14ac:dyDescent="0.2">
      <c r="A20" s="1" t="s">
        <v>1140</v>
      </c>
      <c r="B20" s="1" t="s">
        <v>1140</v>
      </c>
      <c r="C20" s="1" t="s">
        <v>37</v>
      </c>
      <c r="D20" s="1">
        <v>76</v>
      </c>
      <c r="E20" s="1">
        <v>86</v>
      </c>
      <c r="G20" s="1" t="s">
        <v>1142</v>
      </c>
      <c r="I20" s="1" t="s">
        <v>22</v>
      </c>
      <c r="J20" s="1" t="s">
        <v>1823</v>
      </c>
      <c r="K20" s="1">
        <v>1015</v>
      </c>
      <c r="L20" s="1">
        <v>1047</v>
      </c>
      <c r="M20" s="1" t="s">
        <v>1589</v>
      </c>
      <c r="N20" s="1" t="s">
        <v>1589</v>
      </c>
      <c r="O20" s="1" t="s">
        <v>1531</v>
      </c>
      <c r="P20" s="1" t="s">
        <v>1589</v>
      </c>
      <c r="Q20" s="1">
        <v>237</v>
      </c>
      <c r="R20" s="1">
        <v>269</v>
      </c>
      <c r="S20" s="1" t="s">
        <v>1140</v>
      </c>
      <c r="T20" s="1" t="s">
        <v>1140</v>
      </c>
      <c r="U20" s="1">
        <v>0</v>
      </c>
      <c r="V20" s="1">
        <v>0</v>
      </c>
      <c r="W20" s="1">
        <v>0</v>
      </c>
      <c r="X20" s="4" t="b">
        <v>1</v>
      </c>
    </row>
    <row r="21" spans="1:24" ht="17" customHeight="1" x14ac:dyDescent="0.2">
      <c r="A21" s="1" t="s">
        <v>1140</v>
      </c>
      <c r="B21" s="1" t="s">
        <v>1140</v>
      </c>
      <c r="C21" s="1" t="s">
        <v>37</v>
      </c>
      <c r="D21" s="1">
        <v>76</v>
      </c>
      <c r="E21" s="1">
        <v>86</v>
      </c>
      <c r="F21" s="1" t="s">
        <v>1141</v>
      </c>
      <c r="G21" s="1" t="s">
        <v>1142</v>
      </c>
      <c r="H21" s="1" t="s">
        <v>31</v>
      </c>
      <c r="I21" s="1" t="s">
        <v>22</v>
      </c>
      <c r="J21" s="1" t="s">
        <v>1824</v>
      </c>
      <c r="K21" s="1">
        <v>1015</v>
      </c>
      <c r="L21" s="1">
        <v>1047</v>
      </c>
      <c r="M21" s="1" t="s">
        <v>1747</v>
      </c>
      <c r="N21" s="1" t="e">
        <v>#N/A</v>
      </c>
      <c r="O21" s="1" t="s">
        <v>1748</v>
      </c>
      <c r="P21" s="1" t="s">
        <v>1749</v>
      </c>
      <c r="Q21" s="1">
        <v>237</v>
      </c>
      <c r="R21" s="1">
        <v>269</v>
      </c>
      <c r="S21" s="1" t="s">
        <v>1140</v>
      </c>
      <c r="T21" s="1" t="s">
        <v>1140</v>
      </c>
      <c r="U21" s="1">
        <v>0</v>
      </c>
      <c r="V21" s="1">
        <v>0</v>
      </c>
      <c r="W21" s="1">
        <v>0</v>
      </c>
      <c r="X21" s="4" t="b">
        <v>1</v>
      </c>
    </row>
    <row r="22" spans="1:24" ht="17" customHeight="1" x14ac:dyDescent="0.2">
      <c r="A22" s="1" t="s">
        <v>1201</v>
      </c>
      <c r="B22" s="1" t="s">
        <v>1201</v>
      </c>
      <c r="C22" s="1" t="s">
        <v>37</v>
      </c>
      <c r="D22" s="1">
        <v>77</v>
      </c>
      <c r="E22" s="1">
        <v>85</v>
      </c>
      <c r="F22" s="1" t="s">
        <v>1202</v>
      </c>
      <c r="G22" s="1" t="s">
        <v>1203</v>
      </c>
      <c r="H22" s="1" t="s">
        <v>31</v>
      </c>
      <c r="I22" s="1" t="s">
        <v>22</v>
      </c>
      <c r="J22" s="1" t="s">
        <v>1204</v>
      </c>
      <c r="K22" s="1">
        <v>1018</v>
      </c>
      <c r="L22" s="1">
        <v>1044</v>
      </c>
      <c r="M22" s="1" t="s">
        <v>1205</v>
      </c>
      <c r="N22" s="1" t="s">
        <v>1206</v>
      </c>
      <c r="O22" s="1" t="s">
        <v>1207</v>
      </c>
      <c r="P22" s="1" t="s">
        <v>1205</v>
      </c>
      <c r="Q22" s="1">
        <v>240</v>
      </c>
      <c r="R22" s="1">
        <v>266</v>
      </c>
      <c r="S22" s="1" t="s">
        <v>1201</v>
      </c>
      <c r="T22" s="1" t="s">
        <v>1201</v>
      </c>
      <c r="U22" s="1">
        <v>0</v>
      </c>
      <c r="V22" s="1">
        <v>0</v>
      </c>
      <c r="W22" s="1">
        <v>0</v>
      </c>
      <c r="X22" s="4" t="b">
        <v>1</v>
      </c>
    </row>
    <row r="23" spans="1:24" ht="17" customHeight="1" x14ac:dyDescent="0.2">
      <c r="A23" s="1" t="s">
        <v>1208</v>
      </c>
      <c r="B23" s="1" t="s">
        <v>1208</v>
      </c>
      <c r="C23" s="1" t="s">
        <v>37</v>
      </c>
      <c r="D23" s="1">
        <v>77</v>
      </c>
      <c r="E23" s="1">
        <v>86</v>
      </c>
      <c r="F23" s="1" t="s">
        <v>1209</v>
      </c>
      <c r="G23" s="1" t="s">
        <v>1210</v>
      </c>
      <c r="H23" s="1" t="s">
        <v>31</v>
      </c>
      <c r="I23" s="1" t="s">
        <v>22</v>
      </c>
      <c r="J23" s="1" t="s">
        <v>94</v>
      </c>
      <c r="K23" s="1">
        <v>1018</v>
      </c>
      <c r="L23" s="1">
        <v>1047</v>
      </c>
      <c r="M23" s="1" t="s">
        <v>1211</v>
      </c>
      <c r="N23" s="1" t="s">
        <v>1212</v>
      </c>
      <c r="O23" s="1" t="s">
        <v>1213</v>
      </c>
      <c r="P23" s="1" t="s">
        <v>1211</v>
      </c>
      <c r="Q23" s="1">
        <v>240</v>
      </c>
      <c r="R23" s="1">
        <v>269</v>
      </c>
      <c r="S23" s="1" t="s">
        <v>1208</v>
      </c>
      <c r="T23" s="1" t="s">
        <v>1208</v>
      </c>
      <c r="U23" s="1">
        <v>0</v>
      </c>
      <c r="V23" s="1">
        <v>0</v>
      </c>
      <c r="W23" s="1">
        <v>0</v>
      </c>
      <c r="X23" s="4" t="b">
        <v>1</v>
      </c>
    </row>
    <row r="24" spans="1:24" ht="17" customHeight="1" x14ac:dyDescent="0.2">
      <c r="A24" s="1" t="s">
        <v>858</v>
      </c>
      <c r="B24" s="1" t="s">
        <v>858</v>
      </c>
      <c r="C24" s="1" t="s">
        <v>37</v>
      </c>
      <c r="D24" s="1">
        <v>78</v>
      </c>
      <c r="E24" s="1">
        <v>85</v>
      </c>
      <c r="F24" s="1" t="s">
        <v>859</v>
      </c>
      <c r="G24" s="1" t="s">
        <v>860</v>
      </c>
      <c r="I24" s="1" t="s">
        <v>22</v>
      </c>
      <c r="J24" s="1" t="s">
        <v>1825</v>
      </c>
      <c r="K24" s="1">
        <v>1021</v>
      </c>
      <c r="L24" s="1">
        <v>1044</v>
      </c>
      <c r="M24" s="1" t="s">
        <v>861</v>
      </c>
      <c r="N24" s="1" t="s">
        <v>861</v>
      </c>
      <c r="O24" s="1" t="s">
        <v>862</v>
      </c>
      <c r="P24" s="1" t="s">
        <v>861</v>
      </c>
      <c r="Q24" s="1">
        <v>243</v>
      </c>
      <c r="R24" s="1">
        <v>266</v>
      </c>
      <c r="S24" s="1" t="s">
        <v>858</v>
      </c>
      <c r="T24" s="1" t="s">
        <v>858</v>
      </c>
      <c r="U24" s="1">
        <v>0</v>
      </c>
      <c r="V24" s="1">
        <v>0</v>
      </c>
      <c r="W24" s="1">
        <v>0</v>
      </c>
      <c r="X24" s="4" t="b">
        <v>1</v>
      </c>
    </row>
    <row r="25" spans="1:24" ht="17" customHeight="1" x14ac:dyDescent="0.2">
      <c r="A25" s="1" t="s">
        <v>863</v>
      </c>
      <c r="B25" s="1" t="s">
        <v>863</v>
      </c>
      <c r="C25" s="1" t="s">
        <v>37</v>
      </c>
      <c r="D25" s="1">
        <v>78</v>
      </c>
      <c r="E25" s="1">
        <v>86</v>
      </c>
      <c r="F25" s="1" t="s">
        <v>864</v>
      </c>
      <c r="G25" s="1" t="s">
        <v>865</v>
      </c>
      <c r="I25" s="1" t="s">
        <v>22</v>
      </c>
      <c r="J25" s="1" t="s">
        <v>866</v>
      </c>
      <c r="K25" s="1">
        <v>1021</v>
      </c>
      <c r="L25" s="1">
        <v>1047</v>
      </c>
      <c r="M25" s="1" t="s">
        <v>867</v>
      </c>
      <c r="N25" s="1" t="s">
        <v>868</v>
      </c>
      <c r="O25" s="1" t="s">
        <v>869</v>
      </c>
      <c r="P25" s="1" t="s">
        <v>867</v>
      </c>
      <c r="Q25" s="1">
        <v>243</v>
      </c>
      <c r="R25" s="1">
        <v>269</v>
      </c>
      <c r="S25" s="1" t="s">
        <v>863</v>
      </c>
      <c r="T25" s="1" t="s">
        <v>863</v>
      </c>
      <c r="U25" s="1">
        <v>0</v>
      </c>
      <c r="V25" s="1">
        <v>0</v>
      </c>
      <c r="W25" s="1">
        <v>0</v>
      </c>
      <c r="X25" s="4" t="b">
        <v>1</v>
      </c>
    </row>
    <row r="26" spans="1:24" ht="17" customHeight="1" x14ac:dyDescent="0.2">
      <c r="A26" s="1" t="s">
        <v>863</v>
      </c>
      <c r="B26" s="1" t="s">
        <v>863</v>
      </c>
      <c r="C26" s="1" t="s">
        <v>37</v>
      </c>
      <c r="D26" s="1">
        <v>78</v>
      </c>
      <c r="E26" s="1">
        <v>86</v>
      </c>
      <c r="G26" s="1" t="s">
        <v>865</v>
      </c>
      <c r="I26" s="1" t="s">
        <v>22</v>
      </c>
      <c r="J26" s="1" t="s">
        <v>1736</v>
      </c>
      <c r="K26" s="1">
        <v>1021</v>
      </c>
      <c r="L26" s="1">
        <v>1047</v>
      </c>
      <c r="M26" s="1" t="s">
        <v>1573</v>
      </c>
      <c r="N26" s="1" t="s">
        <v>1573</v>
      </c>
      <c r="O26" s="1" t="s">
        <v>1531</v>
      </c>
      <c r="P26" s="1" t="s">
        <v>1737</v>
      </c>
      <c r="Q26" s="1">
        <v>243</v>
      </c>
      <c r="R26" s="1">
        <v>269</v>
      </c>
      <c r="S26" s="1" t="s">
        <v>863</v>
      </c>
      <c r="T26" s="1" t="s">
        <v>863</v>
      </c>
      <c r="U26" s="1">
        <v>0</v>
      </c>
      <c r="V26" s="1">
        <v>0</v>
      </c>
      <c r="W26" s="1">
        <v>0</v>
      </c>
      <c r="X26" s="4" t="b">
        <v>1</v>
      </c>
    </row>
    <row r="27" spans="1:24" ht="17" customHeight="1" x14ac:dyDescent="0.2">
      <c r="A27" s="1" t="s">
        <v>1260</v>
      </c>
      <c r="B27" s="1" t="s">
        <v>1260</v>
      </c>
      <c r="C27" s="1" t="s">
        <v>37</v>
      </c>
      <c r="D27" s="1">
        <v>84</v>
      </c>
      <c r="E27" s="1">
        <v>91</v>
      </c>
      <c r="F27" s="1" t="s">
        <v>1261</v>
      </c>
      <c r="G27" s="1" t="s">
        <v>1262</v>
      </c>
      <c r="I27" s="1" t="s">
        <v>22</v>
      </c>
      <c r="J27" s="1" t="s">
        <v>40</v>
      </c>
      <c r="K27" s="1">
        <v>1039</v>
      </c>
      <c r="L27" s="1">
        <v>1062</v>
      </c>
      <c r="M27" s="1" t="s">
        <v>1263</v>
      </c>
      <c r="N27" s="1" t="s">
        <v>1264</v>
      </c>
      <c r="O27" s="1" t="s">
        <v>1265</v>
      </c>
      <c r="P27" s="1" t="s">
        <v>1263</v>
      </c>
      <c r="Q27" s="1">
        <v>261</v>
      </c>
      <c r="R27" s="1">
        <v>284</v>
      </c>
      <c r="S27" s="1" t="s">
        <v>1260</v>
      </c>
      <c r="T27" s="1" t="s">
        <v>1266</v>
      </c>
      <c r="U27" s="1">
        <v>0</v>
      </c>
      <c r="V27" s="1">
        <v>1</v>
      </c>
      <c r="W27" s="1">
        <v>1</v>
      </c>
      <c r="X27" s="4" t="b">
        <v>0</v>
      </c>
    </row>
    <row r="28" spans="1:24" ht="17" customHeight="1" x14ac:dyDescent="0.2">
      <c r="A28" s="1" t="s">
        <v>518</v>
      </c>
      <c r="B28" s="1" t="s">
        <v>518</v>
      </c>
      <c r="C28" s="1" t="s">
        <v>37</v>
      </c>
      <c r="D28" s="1">
        <v>92</v>
      </c>
      <c r="E28" s="1">
        <v>101</v>
      </c>
      <c r="F28" s="1" t="s">
        <v>519</v>
      </c>
      <c r="G28" s="1" t="s">
        <v>520</v>
      </c>
      <c r="I28" s="1" t="s">
        <v>22</v>
      </c>
      <c r="J28" s="1" t="s">
        <v>516</v>
      </c>
      <c r="K28" s="1">
        <v>1063</v>
      </c>
      <c r="L28" s="1">
        <v>1092</v>
      </c>
      <c r="M28" s="1" t="s">
        <v>521</v>
      </c>
      <c r="N28" s="1" t="s">
        <v>521</v>
      </c>
      <c r="O28" s="1" t="s">
        <v>26</v>
      </c>
      <c r="P28" s="1" t="s">
        <v>521</v>
      </c>
      <c r="Q28" s="1">
        <v>285</v>
      </c>
      <c r="R28" s="1">
        <v>314</v>
      </c>
      <c r="S28" s="1" t="s">
        <v>522</v>
      </c>
      <c r="T28" s="1" t="s">
        <v>518</v>
      </c>
      <c r="U28" s="1">
        <v>1</v>
      </c>
      <c r="V28" s="1">
        <v>0</v>
      </c>
      <c r="W28" s="1">
        <v>1</v>
      </c>
      <c r="X28" s="4" t="b">
        <v>1</v>
      </c>
    </row>
    <row r="29" spans="1:24" ht="17" customHeight="1" x14ac:dyDescent="0.2">
      <c r="A29" s="1" t="s">
        <v>897</v>
      </c>
      <c r="B29" s="1" t="s">
        <v>897</v>
      </c>
      <c r="C29" s="1" t="s">
        <v>37</v>
      </c>
      <c r="D29" s="1">
        <v>124</v>
      </c>
      <c r="E29" s="1">
        <v>132</v>
      </c>
      <c r="F29" s="1" t="s">
        <v>898</v>
      </c>
      <c r="G29" s="1" t="s">
        <v>899</v>
      </c>
      <c r="H29" s="1" t="s">
        <v>31</v>
      </c>
      <c r="I29" s="1" t="s">
        <v>22</v>
      </c>
      <c r="J29" s="1" t="s">
        <v>152</v>
      </c>
      <c r="K29" s="1">
        <v>1159</v>
      </c>
      <c r="L29" s="1">
        <v>1185</v>
      </c>
      <c r="M29" s="1" t="s">
        <v>900</v>
      </c>
      <c r="N29" s="1" t="s">
        <v>901</v>
      </c>
      <c r="O29" s="1" t="s">
        <v>902</v>
      </c>
      <c r="P29" s="1" t="s">
        <v>900</v>
      </c>
      <c r="Q29" s="1">
        <v>381</v>
      </c>
      <c r="R29" s="1">
        <v>407</v>
      </c>
      <c r="S29" s="1" t="s">
        <v>903</v>
      </c>
      <c r="T29" s="1" t="s">
        <v>904</v>
      </c>
      <c r="U29" s="1">
        <v>1</v>
      </c>
      <c r="V29" s="1">
        <v>3</v>
      </c>
      <c r="W29" s="1">
        <v>2</v>
      </c>
      <c r="X29" s="4" t="b">
        <v>0</v>
      </c>
    </row>
    <row r="30" spans="1:24" ht="17" customHeight="1" x14ac:dyDescent="0.2">
      <c r="A30" s="1" t="s">
        <v>1390</v>
      </c>
      <c r="B30" s="1" t="s">
        <v>1390</v>
      </c>
      <c r="C30" s="1" t="s">
        <v>37</v>
      </c>
      <c r="D30" s="1">
        <v>135</v>
      </c>
      <c r="E30" s="1">
        <v>143</v>
      </c>
      <c r="F30" s="1" t="s">
        <v>1391</v>
      </c>
      <c r="G30" s="1" t="s">
        <v>1392</v>
      </c>
      <c r="I30" s="1" t="s">
        <v>22</v>
      </c>
      <c r="J30" s="1" t="s">
        <v>1826</v>
      </c>
      <c r="K30" s="1">
        <v>1192</v>
      </c>
      <c r="L30" s="1">
        <v>1218</v>
      </c>
      <c r="M30" s="1" t="s">
        <v>1393</v>
      </c>
      <c r="N30" s="1" t="s">
        <v>1393</v>
      </c>
      <c r="O30" s="1" t="s">
        <v>1394</v>
      </c>
      <c r="P30" s="1" t="s">
        <v>1393</v>
      </c>
      <c r="Q30" s="1">
        <v>414</v>
      </c>
      <c r="R30" s="1">
        <v>440</v>
      </c>
      <c r="S30" s="1" t="s">
        <v>1390</v>
      </c>
      <c r="T30" s="1" t="s">
        <v>1395</v>
      </c>
      <c r="U30" s="1">
        <v>0</v>
      </c>
      <c r="V30" s="1">
        <v>1</v>
      </c>
      <c r="W30" s="1">
        <v>1</v>
      </c>
      <c r="X30" s="4" t="b">
        <v>0</v>
      </c>
    </row>
    <row r="31" spans="1:24" ht="17" customHeight="1" x14ac:dyDescent="0.2">
      <c r="A31" s="1" t="s">
        <v>1619</v>
      </c>
      <c r="B31" s="1" t="s">
        <v>1619</v>
      </c>
      <c r="C31" s="1" t="s">
        <v>37</v>
      </c>
      <c r="D31" s="1">
        <v>140</v>
      </c>
      <c r="E31" s="1">
        <v>147</v>
      </c>
      <c r="G31" s="1" t="s">
        <v>1620</v>
      </c>
      <c r="I31" s="1" t="s">
        <v>22</v>
      </c>
      <c r="J31" s="1" t="s">
        <v>1827</v>
      </c>
      <c r="K31" s="1">
        <v>1207</v>
      </c>
      <c r="L31" s="1">
        <v>1230</v>
      </c>
      <c r="M31" s="1" t="s">
        <v>1621</v>
      </c>
      <c r="N31" s="1" t="s">
        <v>1621</v>
      </c>
      <c r="O31" s="1" t="s">
        <v>1531</v>
      </c>
      <c r="P31" s="1" t="s">
        <v>1621</v>
      </c>
      <c r="Q31" s="1">
        <v>429</v>
      </c>
      <c r="R31" s="1">
        <v>452</v>
      </c>
      <c r="S31" s="1" t="s">
        <v>1619</v>
      </c>
      <c r="T31" s="1" t="s">
        <v>1619</v>
      </c>
      <c r="W31" s="1">
        <v>0</v>
      </c>
      <c r="X31" s="4" t="b">
        <v>1</v>
      </c>
    </row>
    <row r="32" spans="1:24" ht="17" customHeight="1" x14ac:dyDescent="0.2">
      <c r="A32" s="1" t="s">
        <v>474</v>
      </c>
      <c r="B32" s="1" t="s">
        <v>474</v>
      </c>
      <c r="C32" s="1" t="s">
        <v>37</v>
      </c>
      <c r="D32" s="1">
        <v>144</v>
      </c>
      <c r="E32" s="1">
        <v>152</v>
      </c>
      <c r="F32" s="1" t="s">
        <v>475</v>
      </c>
      <c r="G32" s="1" t="s">
        <v>476</v>
      </c>
      <c r="I32" s="1" t="s">
        <v>22</v>
      </c>
      <c r="J32" s="1" t="s">
        <v>477</v>
      </c>
      <c r="K32" s="1">
        <v>1219</v>
      </c>
      <c r="L32" s="1">
        <v>1245</v>
      </c>
      <c r="M32" s="1" t="s">
        <v>478</v>
      </c>
      <c r="N32" s="1" t="s">
        <v>478</v>
      </c>
      <c r="O32" s="1" t="s">
        <v>479</v>
      </c>
      <c r="P32" s="1" t="s">
        <v>478</v>
      </c>
      <c r="Q32" s="1">
        <v>441</v>
      </c>
      <c r="R32" s="1">
        <v>467</v>
      </c>
      <c r="S32" s="1" t="s">
        <v>474</v>
      </c>
      <c r="T32" s="1" t="s">
        <v>474</v>
      </c>
      <c r="U32" s="1">
        <v>0</v>
      </c>
      <c r="V32" s="1">
        <v>0</v>
      </c>
      <c r="W32" s="1">
        <v>0</v>
      </c>
      <c r="X32" s="4" t="b">
        <v>1</v>
      </c>
    </row>
    <row r="33" spans="1:24" ht="17" customHeight="1" x14ac:dyDescent="0.2">
      <c r="A33" s="1" t="s">
        <v>930</v>
      </c>
      <c r="B33" s="1" t="s">
        <v>930</v>
      </c>
      <c r="C33" s="1" t="s">
        <v>37</v>
      </c>
      <c r="D33" s="1">
        <v>145</v>
      </c>
      <c r="E33" s="1">
        <v>155</v>
      </c>
      <c r="F33" s="1" t="s">
        <v>931</v>
      </c>
      <c r="G33" s="1" t="s">
        <v>932</v>
      </c>
      <c r="H33" s="1" t="s">
        <v>31</v>
      </c>
      <c r="I33" s="1" t="s">
        <v>22</v>
      </c>
      <c r="J33" s="1" t="s">
        <v>196</v>
      </c>
      <c r="K33" s="1">
        <v>1222</v>
      </c>
      <c r="L33" s="1">
        <v>1254</v>
      </c>
      <c r="M33" s="1" t="s">
        <v>933</v>
      </c>
      <c r="N33" s="1" t="s">
        <v>934</v>
      </c>
      <c r="O33" s="1" t="s">
        <v>935</v>
      </c>
      <c r="P33" s="1" t="s">
        <v>933</v>
      </c>
      <c r="Q33" s="1">
        <v>444</v>
      </c>
      <c r="R33" s="1">
        <v>476</v>
      </c>
      <c r="S33" s="1" t="s">
        <v>930</v>
      </c>
      <c r="T33" s="1" t="s">
        <v>930</v>
      </c>
      <c r="U33" s="1">
        <v>0</v>
      </c>
      <c r="V33" s="1">
        <v>0</v>
      </c>
      <c r="W33" s="1">
        <v>0</v>
      </c>
      <c r="X33" s="4" t="b">
        <v>1</v>
      </c>
    </row>
    <row r="34" spans="1:24" ht="17" customHeight="1" x14ac:dyDescent="0.2">
      <c r="A34" s="1" t="s">
        <v>596</v>
      </c>
      <c r="B34" s="1" t="s">
        <v>596</v>
      </c>
      <c r="C34" s="1" t="s">
        <v>37</v>
      </c>
      <c r="D34" s="1">
        <v>147</v>
      </c>
      <c r="E34" s="1">
        <v>155</v>
      </c>
      <c r="F34" s="1" t="s">
        <v>597</v>
      </c>
      <c r="G34" s="1" t="s">
        <v>598</v>
      </c>
      <c r="I34" s="1" t="s">
        <v>22</v>
      </c>
      <c r="J34" s="1" t="s">
        <v>1828</v>
      </c>
      <c r="K34" s="1">
        <v>1228</v>
      </c>
      <c r="L34" s="1">
        <v>1254</v>
      </c>
      <c r="M34" s="1" t="s">
        <v>599</v>
      </c>
      <c r="N34" s="1" t="e">
        <v>#N/A</v>
      </c>
      <c r="O34" s="1" t="s">
        <v>600</v>
      </c>
      <c r="P34" s="1" t="s">
        <v>599</v>
      </c>
      <c r="Q34" s="1">
        <v>450</v>
      </c>
      <c r="R34" s="1">
        <v>476</v>
      </c>
      <c r="S34" s="1" t="s">
        <v>596</v>
      </c>
      <c r="T34" s="1" t="s">
        <v>596</v>
      </c>
      <c r="U34" s="1">
        <v>0</v>
      </c>
      <c r="V34" s="1">
        <v>0</v>
      </c>
      <c r="W34" s="1">
        <v>0</v>
      </c>
      <c r="X34" s="4" t="b">
        <v>1</v>
      </c>
    </row>
    <row r="35" spans="1:24" ht="17" customHeight="1" x14ac:dyDescent="0.2">
      <c r="A35" s="1" t="s">
        <v>596</v>
      </c>
      <c r="B35" s="1" t="s">
        <v>596</v>
      </c>
      <c r="C35" s="1" t="s">
        <v>37</v>
      </c>
      <c r="D35" s="1">
        <v>147</v>
      </c>
      <c r="E35" s="1">
        <v>155</v>
      </c>
      <c r="G35" s="1" t="s">
        <v>598</v>
      </c>
      <c r="I35" s="1" t="s">
        <v>22</v>
      </c>
      <c r="J35" s="1" t="s">
        <v>1824</v>
      </c>
      <c r="K35" s="1">
        <v>1228</v>
      </c>
      <c r="L35" s="1">
        <v>1254</v>
      </c>
      <c r="M35" s="1" t="s">
        <v>1719</v>
      </c>
      <c r="N35" s="1" t="e">
        <v>#N/A</v>
      </c>
      <c r="O35" s="1" t="s">
        <v>1720</v>
      </c>
      <c r="P35" s="1" t="s">
        <v>1719</v>
      </c>
      <c r="Q35" s="1">
        <v>450</v>
      </c>
      <c r="R35" s="1">
        <v>476</v>
      </c>
      <c r="S35" s="1" t="s">
        <v>596</v>
      </c>
      <c r="T35" s="1" t="s">
        <v>596</v>
      </c>
      <c r="U35" s="1">
        <v>0</v>
      </c>
      <c r="V35" s="1">
        <v>0</v>
      </c>
      <c r="W35" s="1">
        <v>0</v>
      </c>
      <c r="X35" s="4" t="b">
        <v>1</v>
      </c>
    </row>
    <row r="36" spans="1:24" ht="17" customHeight="1" x14ac:dyDescent="0.2">
      <c r="A36" s="1" t="s">
        <v>1219</v>
      </c>
      <c r="B36" s="1" t="s">
        <v>1219</v>
      </c>
      <c r="C36" s="1" t="s">
        <v>37</v>
      </c>
      <c r="D36" s="1">
        <v>148</v>
      </c>
      <c r="E36" s="1">
        <v>156</v>
      </c>
      <c r="F36" s="1" t="s">
        <v>1220</v>
      </c>
      <c r="G36" s="1" t="s">
        <v>1221</v>
      </c>
      <c r="I36" s="1" t="s">
        <v>22</v>
      </c>
      <c r="J36" s="1" t="s">
        <v>307</v>
      </c>
      <c r="K36" s="1">
        <v>1231</v>
      </c>
      <c r="L36" s="1">
        <v>1257</v>
      </c>
      <c r="M36" s="1" t="s">
        <v>1222</v>
      </c>
      <c r="N36" s="1" t="s">
        <v>1223</v>
      </c>
      <c r="O36" s="1" t="s">
        <v>1224</v>
      </c>
      <c r="P36" s="1" t="s">
        <v>1222</v>
      </c>
      <c r="Q36" s="1">
        <v>453</v>
      </c>
      <c r="R36" s="1">
        <v>479</v>
      </c>
      <c r="S36" s="1" t="s">
        <v>1219</v>
      </c>
      <c r="T36" s="1" t="s">
        <v>1219</v>
      </c>
      <c r="U36" s="1">
        <v>0</v>
      </c>
      <c r="V36" s="1">
        <v>0</v>
      </c>
      <c r="W36" s="1">
        <v>0</v>
      </c>
      <c r="X36" s="4" t="b">
        <v>1</v>
      </c>
    </row>
    <row r="37" spans="1:24" ht="17" customHeight="1" x14ac:dyDescent="0.2">
      <c r="A37" s="1" t="s">
        <v>1348</v>
      </c>
      <c r="B37" s="1" t="s">
        <v>1348</v>
      </c>
      <c r="C37" s="1" t="s">
        <v>37</v>
      </c>
      <c r="D37" s="1">
        <v>156</v>
      </c>
      <c r="E37" s="1">
        <v>164</v>
      </c>
      <c r="F37" s="1" t="s">
        <v>1349</v>
      </c>
      <c r="G37" s="1" t="s">
        <v>1350</v>
      </c>
      <c r="I37" s="1" t="s">
        <v>22</v>
      </c>
      <c r="J37" s="1" t="s">
        <v>273</v>
      </c>
      <c r="K37" s="1">
        <v>1255</v>
      </c>
      <c r="L37" s="1">
        <v>1281</v>
      </c>
      <c r="M37" s="1" t="s">
        <v>1351</v>
      </c>
      <c r="N37" s="1" t="s">
        <v>1351</v>
      </c>
      <c r="O37" s="1" t="s">
        <v>1352</v>
      </c>
      <c r="P37" s="1" t="s">
        <v>1351</v>
      </c>
      <c r="Q37" s="1">
        <v>477</v>
      </c>
      <c r="R37" s="1">
        <v>503</v>
      </c>
      <c r="S37" s="1" t="s">
        <v>1353</v>
      </c>
      <c r="T37" s="1" t="s">
        <v>1353</v>
      </c>
      <c r="U37" s="1">
        <v>1</v>
      </c>
      <c r="V37" s="1">
        <v>1</v>
      </c>
      <c r="W37" s="1">
        <v>0</v>
      </c>
      <c r="X37" s="4" t="b">
        <v>0</v>
      </c>
    </row>
    <row r="38" spans="1:24" ht="17" customHeight="1" x14ac:dyDescent="0.2">
      <c r="A38" s="1" t="s">
        <v>180</v>
      </c>
      <c r="B38" s="1" t="s">
        <v>180</v>
      </c>
      <c r="C38" s="1" t="s">
        <v>37</v>
      </c>
      <c r="D38" s="1">
        <v>160</v>
      </c>
      <c r="E38" s="1">
        <v>168</v>
      </c>
      <c r="F38" s="1" t="s">
        <v>181</v>
      </c>
      <c r="G38" s="1" t="s">
        <v>182</v>
      </c>
      <c r="I38" s="1" t="s">
        <v>22</v>
      </c>
      <c r="J38" s="1" t="s">
        <v>183</v>
      </c>
      <c r="K38" s="1">
        <v>1267</v>
      </c>
      <c r="L38" s="1">
        <v>1293</v>
      </c>
      <c r="M38" s="1" t="s">
        <v>184</v>
      </c>
      <c r="N38" s="1" t="s">
        <v>185</v>
      </c>
      <c r="O38" s="1" t="s">
        <v>186</v>
      </c>
      <c r="P38" s="1" t="s">
        <v>184</v>
      </c>
      <c r="Q38" s="1">
        <v>489</v>
      </c>
      <c r="R38" s="1">
        <v>515</v>
      </c>
      <c r="S38" s="1" t="s">
        <v>180</v>
      </c>
      <c r="T38" s="1" t="s">
        <v>180</v>
      </c>
      <c r="U38" s="1">
        <v>0</v>
      </c>
      <c r="V38" s="1">
        <v>0</v>
      </c>
      <c r="W38" s="1">
        <v>0</v>
      </c>
      <c r="X38" s="4" t="b">
        <v>1</v>
      </c>
    </row>
    <row r="39" spans="1:24" ht="17" customHeight="1" x14ac:dyDescent="0.2">
      <c r="A39" s="1" t="s">
        <v>655</v>
      </c>
      <c r="B39" s="1" t="s">
        <v>655</v>
      </c>
      <c r="C39" s="1" t="s">
        <v>37</v>
      </c>
      <c r="D39" s="1">
        <v>162</v>
      </c>
      <c r="E39" s="1">
        <v>169</v>
      </c>
      <c r="F39" s="1" t="s">
        <v>656</v>
      </c>
      <c r="G39" s="1" t="s">
        <v>657</v>
      </c>
      <c r="H39" s="1" t="s">
        <v>31</v>
      </c>
      <c r="I39" s="1" t="s">
        <v>22</v>
      </c>
      <c r="J39" s="1" t="s">
        <v>658</v>
      </c>
      <c r="K39" s="1">
        <v>1273</v>
      </c>
      <c r="L39" s="1">
        <v>1296</v>
      </c>
      <c r="M39" s="1" t="s">
        <v>1725</v>
      </c>
      <c r="N39" s="1" t="s">
        <v>659</v>
      </c>
      <c r="O39" s="1" t="s">
        <v>660</v>
      </c>
      <c r="P39" s="1" t="s">
        <v>1725</v>
      </c>
      <c r="Q39" s="1">
        <v>495</v>
      </c>
      <c r="R39" s="1">
        <v>518</v>
      </c>
      <c r="S39" s="1" t="s">
        <v>655</v>
      </c>
      <c r="T39" s="1" t="s">
        <v>655</v>
      </c>
      <c r="U39" s="1">
        <v>0</v>
      </c>
      <c r="V39" s="1">
        <v>0</v>
      </c>
      <c r="W39" s="1">
        <v>0</v>
      </c>
      <c r="X39" s="4" t="b">
        <v>1</v>
      </c>
    </row>
    <row r="40" spans="1:24" ht="17" customHeight="1" x14ac:dyDescent="0.2">
      <c r="A40" s="1" t="s">
        <v>661</v>
      </c>
      <c r="B40" s="1" t="s">
        <v>661</v>
      </c>
      <c r="C40" s="1" t="s">
        <v>37</v>
      </c>
      <c r="D40" s="1">
        <v>162</v>
      </c>
      <c r="E40" s="1">
        <v>172</v>
      </c>
      <c r="F40" s="1" t="s">
        <v>662</v>
      </c>
      <c r="G40" s="1" t="s">
        <v>663</v>
      </c>
      <c r="H40" s="1" t="s">
        <v>31</v>
      </c>
      <c r="I40" s="1" t="s">
        <v>22</v>
      </c>
      <c r="J40" s="1" t="s">
        <v>1829</v>
      </c>
      <c r="K40" s="1">
        <v>1273</v>
      </c>
      <c r="L40" s="1">
        <v>1305</v>
      </c>
      <c r="M40" s="1" t="s">
        <v>664</v>
      </c>
      <c r="N40" s="1" t="s">
        <v>665</v>
      </c>
      <c r="O40" s="1" t="s">
        <v>666</v>
      </c>
      <c r="P40" s="1" t="s">
        <v>664</v>
      </c>
      <c r="Q40" s="1">
        <v>495</v>
      </c>
      <c r="R40" s="1">
        <v>527</v>
      </c>
      <c r="S40" s="1" t="s">
        <v>661</v>
      </c>
      <c r="T40" s="1" t="s">
        <v>661</v>
      </c>
      <c r="U40" s="1">
        <v>0</v>
      </c>
      <c r="V40" s="1">
        <v>0</v>
      </c>
      <c r="W40" s="1">
        <v>0</v>
      </c>
      <c r="X40" s="4" t="b">
        <v>1</v>
      </c>
    </row>
    <row r="41" spans="1:24" ht="17" customHeight="1" x14ac:dyDescent="0.2">
      <c r="A41" s="1" t="s">
        <v>661</v>
      </c>
      <c r="B41" s="1" t="s">
        <v>661</v>
      </c>
      <c r="C41" s="1" t="s">
        <v>37</v>
      </c>
      <c r="D41" s="1">
        <v>162</v>
      </c>
      <c r="E41" s="1">
        <v>172</v>
      </c>
      <c r="G41" s="1" t="s">
        <v>663</v>
      </c>
      <c r="H41" s="1" t="s">
        <v>31</v>
      </c>
      <c r="I41" s="1" t="s">
        <v>22</v>
      </c>
      <c r="J41" s="1" t="s">
        <v>1824</v>
      </c>
      <c r="K41" s="1">
        <v>1273</v>
      </c>
      <c r="L41" s="1">
        <v>1305</v>
      </c>
      <c r="M41" s="1" t="s">
        <v>1726</v>
      </c>
      <c r="N41" s="1" t="e">
        <v>#N/A</v>
      </c>
      <c r="O41" s="1" t="s">
        <v>1727</v>
      </c>
      <c r="P41" s="1" t="s">
        <v>1726</v>
      </c>
      <c r="Q41" s="1">
        <v>495</v>
      </c>
      <c r="R41" s="1">
        <v>527</v>
      </c>
      <c r="S41" s="1" t="s">
        <v>661</v>
      </c>
      <c r="T41" s="1" t="s">
        <v>661</v>
      </c>
      <c r="U41" s="1">
        <v>0</v>
      </c>
      <c r="V41" s="1">
        <v>0</v>
      </c>
      <c r="W41" s="1">
        <v>0</v>
      </c>
      <c r="X41" s="4" t="b">
        <v>1</v>
      </c>
    </row>
    <row r="42" spans="1:24" ht="17" customHeight="1" x14ac:dyDescent="0.2">
      <c r="A42" s="1" t="s">
        <v>336</v>
      </c>
      <c r="B42" s="1" t="s">
        <v>336</v>
      </c>
      <c r="C42" s="1" t="s">
        <v>37</v>
      </c>
      <c r="D42" s="1">
        <v>164</v>
      </c>
      <c r="E42" s="1">
        <v>172</v>
      </c>
      <c r="F42" s="1" t="s">
        <v>337</v>
      </c>
      <c r="G42" s="1" t="s">
        <v>338</v>
      </c>
      <c r="I42" s="1" t="s">
        <v>22</v>
      </c>
      <c r="J42" s="1" t="s">
        <v>1905</v>
      </c>
      <c r="K42" s="1">
        <v>1279</v>
      </c>
      <c r="L42" s="1">
        <v>1305</v>
      </c>
      <c r="M42" s="1" t="s">
        <v>339</v>
      </c>
      <c r="N42" s="1" t="s">
        <v>339</v>
      </c>
      <c r="O42" s="1" t="s">
        <v>26</v>
      </c>
      <c r="P42" s="1" t="s">
        <v>339</v>
      </c>
      <c r="Q42" s="1">
        <v>501</v>
      </c>
      <c r="R42" s="1">
        <v>527</v>
      </c>
      <c r="S42" s="1" t="s">
        <v>336</v>
      </c>
      <c r="T42" s="1" t="s">
        <v>336</v>
      </c>
      <c r="U42" s="1">
        <v>0</v>
      </c>
      <c r="V42" s="1">
        <v>0</v>
      </c>
      <c r="W42" s="1">
        <v>0</v>
      </c>
      <c r="X42" s="4" t="b">
        <v>1</v>
      </c>
    </row>
    <row r="43" spans="1:24" ht="17" customHeight="1" x14ac:dyDescent="0.2">
      <c r="A43" s="1" t="s">
        <v>258</v>
      </c>
      <c r="B43" s="1" t="s">
        <v>258</v>
      </c>
      <c r="C43" s="1" t="s">
        <v>37</v>
      </c>
      <c r="D43" s="1">
        <v>167</v>
      </c>
      <c r="E43" s="1">
        <v>175</v>
      </c>
      <c r="F43" s="1" t="s">
        <v>259</v>
      </c>
      <c r="G43" s="1" t="s">
        <v>260</v>
      </c>
      <c r="H43" s="1" t="s">
        <v>31</v>
      </c>
      <c r="I43" s="1" t="s">
        <v>22</v>
      </c>
      <c r="J43" s="1" t="s">
        <v>261</v>
      </c>
      <c r="K43" s="1">
        <v>1288</v>
      </c>
      <c r="L43" s="1">
        <v>1314</v>
      </c>
      <c r="M43" s="1" t="s">
        <v>262</v>
      </c>
      <c r="N43" s="1" t="e">
        <v>#N/A</v>
      </c>
      <c r="O43" s="1" t="s">
        <v>263</v>
      </c>
      <c r="P43" s="1" t="s">
        <v>262</v>
      </c>
      <c r="Q43" s="1">
        <v>510</v>
      </c>
      <c r="R43" s="1">
        <v>536</v>
      </c>
      <c r="S43" s="1" t="s">
        <v>258</v>
      </c>
      <c r="T43" s="1" t="s">
        <v>258</v>
      </c>
      <c r="U43" s="1">
        <v>0</v>
      </c>
      <c r="V43" s="1">
        <v>0</v>
      </c>
      <c r="W43" s="1">
        <v>0</v>
      </c>
      <c r="X43" s="4" t="b">
        <v>1</v>
      </c>
    </row>
    <row r="44" spans="1:24" ht="17" customHeight="1" x14ac:dyDescent="0.2">
      <c r="A44" s="1" t="s">
        <v>1331</v>
      </c>
      <c r="B44" s="1" t="s">
        <v>1331</v>
      </c>
      <c r="C44" s="1" t="s">
        <v>37</v>
      </c>
      <c r="D44" s="1">
        <v>168</v>
      </c>
      <c r="E44" s="1">
        <v>175</v>
      </c>
      <c r="F44" s="1" t="s">
        <v>1332</v>
      </c>
      <c r="G44" s="1" t="s">
        <v>1333</v>
      </c>
      <c r="H44" s="1" t="s">
        <v>31</v>
      </c>
      <c r="I44" s="1" t="s">
        <v>22</v>
      </c>
      <c r="J44" s="1" t="s">
        <v>894</v>
      </c>
      <c r="K44" s="1">
        <v>1291</v>
      </c>
      <c r="L44" s="1">
        <v>1314</v>
      </c>
      <c r="M44" s="1" t="s">
        <v>1334</v>
      </c>
      <c r="N44" s="1" t="s">
        <v>1335</v>
      </c>
      <c r="O44" s="1" t="s">
        <v>26</v>
      </c>
      <c r="P44" s="1" t="s">
        <v>1334</v>
      </c>
      <c r="Q44" s="1">
        <v>513</v>
      </c>
      <c r="R44" s="1">
        <v>536</v>
      </c>
      <c r="S44" s="1" t="s">
        <v>1331</v>
      </c>
      <c r="T44" s="1" t="s">
        <v>1331</v>
      </c>
      <c r="U44" s="1">
        <v>0</v>
      </c>
      <c r="V44" s="1">
        <v>0</v>
      </c>
      <c r="W44" s="1">
        <v>0</v>
      </c>
      <c r="X44" s="4" t="b">
        <v>1</v>
      </c>
    </row>
    <row r="45" spans="1:24" ht="17" customHeight="1" x14ac:dyDescent="0.2">
      <c r="A45" s="1" t="s">
        <v>1176</v>
      </c>
      <c r="B45" s="1" t="s">
        <v>1176</v>
      </c>
      <c r="C45" s="1" t="s">
        <v>37</v>
      </c>
      <c r="D45" s="1">
        <v>176</v>
      </c>
      <c r="E45" s="1">
        <v>184</v>
      </c>
      <c r="F45" s="1" t="s">
        <v>1177</v>
      </c>
      <c r="G45" s="1" t="s">
        <v>1178</v>
      </c>
      <c r="I45" s="1" t="s">
        <v>22</v>
      </c>
      <c r="J45" s="1" t="s">
        <v>516</v>
      </c>
      <c r="K45" s="1">
        <v>1315</v>
      </c>
      <c r="L45" s="1">
        <v>1341</v>
      </c>
      <c r="M45" s="1" t="s">
        <v>1179</v>
      </c>
      <c r="N45" s="1" t="s">
        <v>1179</v>
      </c>
      <c r="O45" s="1" t="s">
        <v>1180</v>
      </c>
      <c r="P45" s="1" t="s">
        <v>1179</v>
      </c>
      <c r="Q45" s="1">
        <v>537</v>
      </c>
      <c r="R45" s="1">
        <v>563</v>
      </c>
      <c r="S45" s="1" t="s">
        <v>1176</v>
      </c>
      <c r="T45" s="1" t="s">
        <v>1176</v>
      </c>
      <c r="U45" s="1">
        <v>0</v>
      </c>
      <c r="V45" s="1">
        <v>0</v>
      </c>
      <c r="W45" s="1">
        <v>0</v>
      </c>
      <c r="X45" s="4" t="b">
        <v>1</v>
      </c>
    </row>
    <row r="46" spans="1:24" ht="17" customHeight="1" x14ac:dyDescent="0.2">
      <c r="A46" s="1" t="s">
        <v>1279</v>
      </c>
      <c r="B46" s="1" t="s">
        <v>1279</v>
      </c>
      <c r="C46" s="1" t="s">
        <v>37</v>
      </c>
      <c r="D46" s="1">
        <v>180</v>
      </c>
      <c r="E46" s="1">
        <v>188</v>
      </c>
      <c r="F46" s="1" t="s">
        <v>1275</v>
      </c>
      <c r="G46" s="1" t="s">
        <v>1276</v>
      </c>
      <c r="H46" s="1" t="s">
        <v>31</v>
      </c>
      <c r="I46" s="1" t="s">
        <v>22</v>
      </c>
      <c r="J46" s="1" t="s">
        <v>1280</v>
      </c>
      <c r="K46" s="1">
        <v>1327</v>
      </c>
      <c r="L46" s="1">
        <v>1353</v>
      </c>
      <c r="M46" s="1" t="s">
        <v>1281</v>
      </c>
      <c r="N46" s="1" t="s">
        <v>1282</v>
      </c>
      <c r="O46" s="1" t="s">
        <v>1283</v>
      </c>
      <c r="P46" s="1" t="s">
        <v>1281</v>
      </c>
      <c r="Q46" s="1">
        <v>549</v>
      </c>
      <c r="R46" s="1">
        <v>575</v>
      </c>
      <c r="S46" s="1" t="s">
        <v>1279</v>
      </c>
      <c r="T46" s="1" t="s">
        <v>1279</v>
      </c>
      <c r="U46" s="1">
        <v>0</v>
      </c>
      <c r="V46" s="1">
        <v>0</v>
      </c>
      <c r="W46" s="1">
        <v>0</v>
      </c>
      <c r="X46" s="4" t="b">
        <v>1</v>
      </c>
    </row>
    <row r="47" spans="1:24" ht="17" customHeight="1" x14ac:dyDescent="0.2">
      <c r="A47" s="1" t="s">
        <v>1279</v>
      </c>
      <c r="B47" s="1" t="s">
        <v>1279</v>
      </c>
      <c r="C47" s="1" t="s">
        <v>37</v>
      </c>
      <c r="D47" s="1">
        <v>180</v>
      </c>
      <c r="E47" s="1">
        <v>188</v>
      </c>
      <c r="G47" s="1" t="s">
        <v>1276</v>
      </c>
      <c r="H47" s="1" t="s">
        <v>31</v>
      </c>
      <c r="I47" s="1" t="s">
        <v>22</v>
      </c>
      <c r="J47" s="1" t="s">
        <v>1758</v>
      </c>
      <c r="K47" s="1">
        <v>1327</v>
      </c>
      <c r="L47" s="1">
        <v>1353</v>
      </c>
      <c r="M47" s="1" t="s">
        <v>1759</v>
      </c>
      <c r="N47" s="1" t="e">
        <v>#N/A</v>
      </c>
      <c r="O47" s="1" t="s">
        <v>1760</v>
      </c>
      <c r="P47" s="1" t="s">
        <v>1761</v>
      </c>
      <c r="Q47" s="1">
        <v>549</v>
      </c>
      <c r="R47" s="1">
        <v>575</v>
      </c>
      <c r="S47" s="1" t="s">
        <v>1279</v>
      </c>
      <c r="T47" s="1" t="s">
        <v>1279</v>
      </c>
      <c r="U47" s="1">
        <v>0</v>
      </c>
      <c r="V47" s="1">
        <v>0</v>
      </c>
      <c r="W47" s="1">
        <v>0</v>
      </c>
      <c r="X47" s="4" t="b">
        <v>1</v>
      </c>
    </row>
    <row r="48" spans="1:24" ht="17" customHeight="1" x14ac:dyDescent="0.2">
      <c r="A48" s="1" t="s">
        <v>1279</v>
      </c>
      <c r="B48" s="1" t="s">
        <v>1279</v>
      </c>
      <c r="C48" s="1" t="s">
        <v>37</v>
      </c>
      <c r="D48" s="1">
        <v>180</v>
      </c>
      <c r="E48" s="1">
        <v>188</v>
      </c>
      <c r="G48" s="1" t="s">
        <v>1276</v>
      </c>
      <c r="H48" s="1" t="s">
        <v>31</v>
      </c>
      <c r="I48" s="1" t="s">
        <v>22</v>
      </c>
      <c r="J48" s="1" t="s">
        <v>1479</v>
      </c>
      <c r="K48" s="1">
        <v>1327</v>
      </c>
      <c r="L48" s="1">
        <v>1353</v>
      </c>
      <c r="M48" s="1" t="s">
        <v>1762</v>
      </c>
      <c r="N48" s="1" t="e">
        <v>#N/A</v>
      </c>
      <c r="O48" s="1" t="s">
        <v>1763</v>
      </c>
      <c r="P48" s="1" t="s">
        <v>1764</v>
      </c>
      <c r="Q48" s="1">
        <v>549</v>
      </c>
      <c r="R48" s="1">
        <v>575</v>
      </c>
      <c r="S48" s="1" t="s">
        <v>1279</v>
      </c>
      <c r="T48" s="1" t="s">
        <v>1279</v>
      </c>
      <c r="U48" s="1">
        <v>0</v>
      </c>
      <c r="V48" s="1">
        <v>0</v>
      </c>
      <c r="W48" s="1">
        <v>0</v>
      </c>
      <c r="X48" s="4" t="b">
        <v>1</v>
      </c>
    </row>
    <row r="49" spans="1:24" ht="17" customHeight="1" x14ac:dyDescent="0.2">
      <c r="A49" s="2" t="s">
        <v>1274</v>
      </c>
      <c r="B49" s="2" t="s">
        <v>1274</v>
      </c>
      <c r="C49" s="1" t="s">
        <v>37</v>
      </c>
      <c r="D49" s="1">
        <v>180</v>
      </c>
      <c r="E49" s="1">
        <v>188</v>
      </c>
      <c r="G49" s="1" t="s">
        <v>1276</v>
      </c>
      <c r="J49" s="1" t="s">
        <v>1793</v>
      </c>
      <c r="K49" s="1">
        <v>1327</v>
      </c>
      <c r="L49" s="1">
        <v>1353</v>
      </c>
      <c r="P49" s="1" t="s">
        <v>1278</v>
      </c>
      <c r="Q49" s="1">
        <v>549</v>
      </c>
      <c r="R49" s="1">
        <v>575</v>
      </c>
      <c r="S49" s="2" t="s">
        <v>1274</v>
      </c>
      <c r="T49" s="2" t="s">
        <v>1274</v>
      </c>
      <c r="X49" s="4"/>
    </row>
    <row r="50" spans="1:24" ht="17" customHeight="1" x14ac:dyDescent="0.2">
      <c r="A50" s="1" t="s">
        <v>1279</v>
      </c>
      <c r="B50" s="1" t="s">
        <v>1279</v>
      </c>
      <c r="C50" s="1" t="s">
        <v>37</v>
      </c>
      <c r="D50" s="1">
        <v>180</v>
      </c>
      <c r="E50" s="1">
        <v>188</v>
      </c>
      <c r="G50" s="1" t="s">
        <v>1276</v>
      </c>
      <c r="I50" s="1" t="s">
        <v>22</v>
      </c>
      <c r="J50" s="1" t="s">
        <v>1705</v>
      </c>
      <c r="K50" s="1">
        <v>1327</v>
      </c>
      <c r="L50" s="1">
        <v>1353</v>
      </c>
      <c r="M50" s="1" t="s">
        <v>1594</v>
      </c>
      <c r="N50" s="1" t="s">
        <v>1594</v>
      </c>
      <c r="O50" s="1" t="s">
        <v>1531</v>
      </c>
      <c r="P50" s="1" t="s">
        <v>1765</v>
      </c>
      <c r="Q50" s="1">
        <v>549</v>
      </c>
      <c r="R50" s="1">
        <v>575</v>
      </c>
      <c r="S50" s="1" t="s">
        <v>1279</v>
      </c>
      <c r="T50" s="1" t="s">
        <v>1279</v>
      </c>
      <c r="U50" s="1">
        <v>1</v>
      </c>
      <c r="V50" s="1">
        <v>1</v>
      </c>
      <c r="W50" s="1">
        <v>0</v>
      </c>
      <c r="X50" s="4" t="b">
        <v>1</v>
      </c>
    </row>
    <row r="51" spans="1:24" ht="17" customHeight="1" x14ac:dyDescent="0.2">
      <c r="A51" s="1" t="s">
        <v>1279</v>
      </c>
      <c r="B51" s="1" t="s">
        <v>1279</v>
      </c>
      <c r="C51" s="1" t="s">
        <v>37</v>
      </c>
      <c r="D51" s="1">
        <v>180</v>
      </c>
      <c r="E51" s="1">
        <v>188</v>
      </c>
      <c r="G51" s="1" t="s">
        <v>1276</v>
      </c>
      <c r="I51" s="1" t="s">
        <v>22</v>
      </c>
      <c r="J51" s="1" t="s">
        <v>32</v>
      </c>
      <c r="K51" s="1">
        <v>1327</v>
      </c>
      <c r="L51" s="1">
        <v>1353</v>
      </c>
      <c r="M51" s="1" t="s">
        <v>1600</v>
      </c>
      <c r="N51" s="1" t="s">
        <v>1600</v>
      </c>
      <c r="O51" s="1" t="s">
        <v>1531</v>
      </c>
      <c r="P51" s="1" t="s">
        <v>1766</v>
      </c>
      <c r="Q51" s="1">
        <v>549</v>
      </c>
      <c r="R51" s="1">
        <v>575</v>
      </c>
      <c r="S51" s="1" t="s">
        <v>1279</v>
      </c>
      <c r="T51" s="1" t="s">
        <v>1279</v>
      </c>
      <c r="U51" s="1">
        <v>1</v>
      </c>
      <c r="V51" s="1">
        <v>1</v>
      </c>
      <c r="W51" s="1">
        <v>0</v>
      </c>
      <c r="X51" s="4" t="b">
        <v>1</v>
      </c>
    </row>
    <row r="52" spans="1:24" ht="17" customHeight="1" x14ac:dyDescent="0.2">
      <c r="A52" s="1" t="s">
        <v>372</v>
      </c>
      <c r="B52" s="1" t="s">
        <v>372</v>
      </c>
      <c r="C52" s="1" t="s">
        <v>37</v>
      </c>
      <c r="D52" s="1">
        <v>193</v>
      </c>
      <c r="E52" s="1">
        <v>201</v>
      </c>
      <c r="F52" s="1" t="s">
        <v>373</v>
      </c>
      <c r="G52" s="1" t="s">
        <v>374</v>
      </c>
      <c r="H52" s="1" t="s">
        <v>31</v>
      </c>
      <c r="I52" s="1" t="s">
        <v>22</v>
      </c>
      <c r="J52" s="1" t="s">
        <v>375</v>
      </c>
      <c r="K52" s="1">
        <v>1366</v>
      </c>
      <c r="L52" s="1">
        <v>1392</v>
      </c>
      <c r="M52" s="1" t="s">
        <v>376</v>
      </c>
      <c r="N52" s="1" t="s">
        <v>376</v>
      </c>
      <c r="O52" s="1" t="s">
        <v>377</v>
      </c>
      <c r="P52" s="1" t="s">
        <v>376</v>
      </c>
      <c r="Q52" s="1">
        <v>588</v>
      </c>
      <c r="R52" s="1">
        <v>614</v>
      </c>
      <c r="S52" s="1" t="s">
        <v>372</v>
      </c>
      <c r="T52" s="1" t="s">
        <v>372</v>
      </c>
      <c r="U52" s="1">
        <v>0</v>
      </c>
      <c r="V52" s="1">
        <v>0</v>
      </c>
      <c r="W52" s="1">
        <v>0</v>
      </c>
      <c r="X52" s="4" t="b">
        <v>1</v>
      </c>
    </row>
    <row r="53" spans="1:24" ht="17" customHeight="1" x14ac:dyDescent="0.2">
      <c r="A53" s="1" t="s">
        <v>372</v>
      </c>
      <c r="B53" s="1" t="s">
        <v>372</v>
      </c>
      <c r="C53" s="1" t="s">
        <v>37</v>
      </c>
      <c r="D53" s="1">
        <v>193</v>
      </c>
      <c r="E53" s="1">
        <v>201</v>
      </c>
      <c r="G53" s="1" t="s">
        <v>374</v>
      </c>
      <c r="H53" s="1" t="s">
        <v>31</v>
      </c>
      <c r="I53" s="1" t="s">
        <v>22</v>
      </c>
      <c r="J53" s="1" t="s">
        <v>1707</v>
      </c>
      <c r="K53" s="1">
        <v>1366</v>
      </c>
      <c r="L53" s="1">
        <v>1392</v>
      </c>
      <c r="M53" s="1" t="s">
        <v>1708</v>
      </c>
      <c r="N53" s="1" t="e">
        <v>#N/A</v>
      </c>
      <c r="O53" s="1" t="s">
        <v>1709</v>
      </c>
      <c r="P53" s="1" t="s">
        <v>1708</v>
      </c>
      <c r="Q53" s="1">
        <v>588</v>
      </c>
      <c r="R53" s="1">
        <v>614</v>
      </c>
      <c r="S53" s="1" t="s">
        <v>372</v>
      </c>
      <c r="T53" s="1" t="s">
        <v>372</v>
      </c>
      <c r="U53" s="1">
        <v>0</v>
      </c>
      <c r="V53" s="1">
        <v>0</v>
      </c>
      <c r="W53" s="1">
        <v>0</v>
      </c>
      <c r="X53" s="4" t="b">
        <v>1</v>
      </c>
    </row>
    <row r="54" spans="1:24" ht="17" customHeight="1" x14ac:dyDescent="0.2">
      <c r="A54" s="1" t="s">
        <v>696</v>
      </c>
      <c r="B54" s="1" t="s">
        <v>696</v>
      </c>
      <c r="C54" s="1" t="s">
        <v>37</v>
      </c>
      <c r="D54" s="1">
        <v>202</v>
      </c>
      <c r="E54" s="1">
        <v>210</v>
      </c>
      <c r="F54" s="1" t="s">
        <v>697</v>
      </c>
      <c r="G54" s="1" t="s">
        <v>698</v>
      </c>
      <c r="I54" s="1" t="s">
        <v>22</v>
      </c>
      <c r="J54" s="1" t="s">
        <v>79</v>
      </c>
      <c r="K54" s="1">
        <v>1393</v>
      </c>
      <c r="L54" s="1">
        <v>1419</v>
      </c>
      <c r="M54" s="1" t="s">
        <v>699</v>
      </c>
      <c r="N54" s="1" t="e">
        <v>#N/A</v>
      </c>
      <c r="O54" s="1" t="s">
        <v>700</v>
      </c>
      <c r="P54" s="1" t="s">
        <v>699</v>
      </c>
      <c r="Q54" s="1">
        <v>615</v>
      </c>
      <c r="R54" s="1">
        <v>641</v>
      </c>
      <c r="S54" s="1" t="s">
        <v>696</v>
      </c>
      <c r="T54" s="1" t="s">
        <v>696</v>
      </c>
      <c r="U54" s="1">
        <v>0</v>
      </c>
      <c r="V54" s="1">
        <v>0</v>
      </c>
      <c r="W54" s="1">
        <v>0</v>
      </c>
      <c r="X54" s="4" t="b">
        <v>1</v>
      </c>
    </row>
    <row r="55" spans="1:24" ht="17" customHeight="1" x14ac:dyDescent="0.2">
      <c r="A55" s="1" t="s">
        <v>232</v>
      </c>
      <c r="B55" s="1" t="s">
        <v>232</v>
      </c>
      <c r="C55" s="1" t="s">
        <v>37</v>
      </c>
      <c r="D55" s="1">
        <v>203</v>
      </c>
      <c r="E55" s="1">
        <v>212</v>
      </c>
      <c r="F55" s="1" t="s">
        <v>233</v>
      </c>
      <c r="G55" s="1" t="s">
        <v>234</v>
      </c>
      <c r="I55" s="1" t="s">
        <v>22</v>
      </c>
      <c r="J55" s="1" t="s">
        <v>196</v>
      </c>
      <c r="K55" s="1">
        <v>1396</v>
      </c>
      <c r="L55" s="1">
        <v>1425</v>
      </c>
      <c r="M55" s="1" t="s">
        <v>235</v>
      </c>
      <c r="N55" s="1" t="s">
        <v>236</v>
      </c>
      <c r="O55" s="1" t="s">
        <v>237</v>
      </c>
      <c r="P55" s="1" t="s">
        <v>235</v>
      </c>
      <c r="Q55" s="1">
        <v>618</v>
      </c>
      <c r="R55" s="1">
        <v>647</v>
      </c>
      <c r="S55" s="1" t="s">
        <v>232</v>
      </c>
      <c r="T55" s="1" t="s">
        <v>232</v>
      </c>
      <c r="U55" s="1">
        <v>0</v>
      </c>
      <c r="V55" s="1">
        <v>0</v>
      </c>
      <c r="W55" s="1">
        <v>0</v>
      </c>
      <c r="X55" s="4" t="b">
        <v>1</v>
      </c>
    </row>
    <row r="56" spans="1:24" ht="17" customHeight="1" x14ac:dyDescent="0.2">
      <c r="A56" s="1" t="s">
        <v>76</v>
      </c>
      <c r="B56" s="1" t="s">
        <v>76</v>
      </c>
      <c r="C56" s="1" t="s">
        <v>37</v>
      </c>
      <c r="D56" s="1">
        <v>210</v>
      </c>
      <c r="E56" s="1">
        <v>218</v>
      </c>
      <c r="F56" s="1" t="s">
        <v>77</v>
      </c>
      <c r="G56" s="1" t="s">
        <v>78</v>
      </c>
      <c r="I56" s="1" t="s">
        <v>22</v>
      </c>
      <c r="J56" s="1" t="s">
        <v>79</v>
      </c>
      <c r="K56" s="1">
        <v>1417</v>
      </c>
      <c r="L56" s="1">
        <v>1443</v>
      </c>
      <c r="M56" s="1" t="s">
        <v>80</v>
      </c>
      <c r="N56" s="1" t="e">
        <v>#N/A</v>
      </c>
      <c r="O56" s="1" t="s">
        <v>81</v>
      </c>
      <c r="P56" s="1" t="s">
        <v>80</v>
      </c>
      <c r="Q56" s="1">
        <v>639</v>
      </c>
      <c r="R56" s="1">
        <v>665</v>
      </c>
      <c r="S56" s="1" t="s">
        <v>82</v>
      </c>
      <c r="T56" s="1" t="s">
        <v>76</v>
      </c>
      <c r="U56" s="1">
        <v>1</v>
      </c>
      <c r="V56" s="1">
        <v>0</v>
      </c>
      <c r="W56" s="1">
        <v>1</v>
      </c>
      <c r="X56" s="4" t="b">
        <v>1</v>
      </c>
    </row>
    <row r="57" spans="1:24" ht="17" customHeight="1" x14ac:dyDescent="0.2">
      <c r="A57" s="1" t="s">
        <v>468</v>
      </c>
      <c r="B57" s="1" t="s">
        <v>468</v>
      </c>
      <c r="C57" s="1" t="s">
        <v>37</v>
      </c>
      <c r="D57" s="1">
        <v>216</v>
      </c>
      <c r="E57" s="1">
        <v>224</v>
      </c>
      <c r="G57" s="1" t="s">
        <v>470</v>
      </c>
      <c r="I57" s="1" t="s">
        <v>22</v>
      </c>
      <c r="J57" s="1" t="s">
        <v>1890</v>
      </c>
      <c r="K57" s="1">
        <v>1435</v>
      </c>
      <c r="L57" s="1">
        <v>1461</v>
      </c>
      <c r="M57" s="1" t="s">
        <v>1562</v>
      </c>
      <c r="N57" s="1" t="s">
        <v>1562</v>
      </c>
      <c r="O57" s="1" t="s">
        <v>1531</v>
      </c>
      <c r="P57" s="1" t="s">
        <v>1562</v>
      </c>
      <c r="Q57" s="1">
        <v>657</v>
      </c>
      <c r="R57" s="1">
        <v>683</v>
      </c>
      <c r="S57" s="1" t="s">
        <v>468</v>
      </c>
      <c r="T57" s="1" t="s">
        <v>468</v>
      </c>
      <c r="U57" s="1">
        <v>0</v>
      </c>
      <c r="V57" s="1">
        <v>0</v>
      </c>
      <c r="W57" s="1">
        <v>0</v>
      </c>
      <c r="X57" s="4" t="b">
        <v>1</v>
      </c>
    </row>
    <row r="58" spans="1:24" ht="17" customHeight="1" x14ac:dyDescent="0.2">
      <c r="A58" s="1" t="s">
        <v>468</v>
      </c>
      <c r="B58" s="1" t="s">
        <v>468</v>
      </c>
      <c r="C58" s="1" t="s">
        <v>37</v>
      </c>
      <c r="D58" s="1">
        <v>216</v>
      </c>
      <c r="E58" s="1">
        <v>224</v>
      </c>
      <c r="F58" s="1" t="s">
        <v>469</v>
      </c>
      <c r="G58" s="1" t="s">
        <v>470</v>
      </c>
      <c r="I58" s="1" t="s">
        <v>22</v>
      </c>
      <c r="J58" s="1" t="s">
        <v>1831</v>
      </c>
      <c r="K58" s="1">
        <v>1435</v>
      </c>
      <c r="L58" s="1">
        <v>1461</v>
      </c>
      <c r="M58" s="1" t="s">
        <v>471</v>
      </c>
      <c r="N58" s="1" t="s">
        <v>472</v>
      </c>
      <c r="O58" s="1" t="s">
        <v>473</v>
      </c>
      <c r="P58" s="1" t="s">
        <v>471</v>
      </c>
      <c r="Q58" s="1">
        <v>657</v>
      </c>
      <c r="R58" s="1">
        <v>683</v>
      </c>
      <c r="S58" s="1" t="s">
        <v>468</v>
      </c>
      <c r="T58" s="1" t="s">
        <v>468</v>
      </c>
      <c r="U58" s="1">
        <v>0</v>
      </c>
      <c r="V58" s="1">
        <v>0</v>
      </c>
      <c r="W58" s="1">
        <v>0</v>
      </c>
      <c r="X58" s="4" t="b">
        <v>1</v>
      </c>
    </row>
    <row r="59" spans="1:24" ht="17" customHeight="1" x14ac:dyDescent="0.2">
      <c r="A59" s="1" t="s">
        <v>411</v>
      </c>
      <c r="B59" s="1" t="s">
        <v>411</v>
      </c>
      <c r="C59" s="1" t="s">
        <v>37</v>
      </c>
      <c r="D59" s="1">
        <v>226</v>
      </c>
      <c r="E59" s="1">
        <v>236</v>
      </c>
      <c r="F59" s="1" t="s">
        <v>412</v>
      </c>
      <c r="G59" s="1" t="s">
        <v>413</v>
      </c>
      <c r="I59" s="1" t="s">
        <v>22</v>
      </c>
      <c r="J59" s="1" t="s">
        <v>1826</v>
      </c>
      <c r="K59" s="1">
        <v>1465</v>
      </c>
      <c r="L59" s="1">
        <v>1497</v>
      </c>
      <c r="M59" s="1" t="s">
        <v>414</v>
      </c>
      <c r="N59" s="1" t="s">
        <v>414</v>
      </c>
      <c r="O59" s="1" t="s">
        <v>415</v>
      </c>
      <c r="P59" s="1" t="s">
        <v>414</v>
      </c>
      <c r="Q59" s="1">
        <v>687</v>
      </c>
      <c r="R59" s="1">
        <v>719</v>
      </c>
      <c r="S59" s="1" t="s">
        <v>411</v>
      </c>
      <c r="T59" s="1" t="s">
        <v>411</v>
      </c>
      <c r="U59" s="1">
        <v>0</v>
      </c>
      <c r="V59" s="1">
        <v>0</v>
      </c>
      <c r="W59" s="1">
        <v>0</v>
      </c>
      <c r="X59" s="4" t="b">
        <v>1</v>
      </c>
    </row>
    <row r="60" spans="1:24" ht="17" customHeight="1" x14ac:dyDescent="0.2">
      <c r="A60" s="1" t="s">
        <v>1299</v>
      </c>
      <c r="B60" s="1" t="s">
        <v>1299</v>
      </c>
      <c r="C60" s="1" t="s">
        <v>37</v>
      </c>
      <c r="D60" s="1">
        <v>240</v>
      </c>
      <c r="E60" s="1">
        <v>249</v>
      </c>
      <c r="F60" s="1" t="s">
        <v>1300</v>
      </c>
      <c r="G60" s="1" t="s">
        <v>1301</v>
      </c>
      <c r="H60" s="1" t="s">
        <v>31</v>
      </c>
      <c r="I60" s="1" t="s">
        <v>22</v>
      </c>
      <c r="J60" s="1" t="s">
        <v>1805</v>
      </c>
      <c r="K60" s="1">
        <v>1507</v>
      </c>
      <c r="L60" s="1">
        <v>1536</v>
      </c>
      <c r="M60" s="1" t="s">
        <v>1302</v>
      </c>
      <c r="N60" s="1" t="s">
        <v>1303</v>
      </c>
      <c r="O60" s="1" t="s">
        <v>1304</v>
      </c>
      <c r="P60" s="1" t="s">
        <v>1302</v>
      </c>
      <c r="Q60" s="1">
        <v>729</v>
      </c>
      <c r="R60" s="1">
        <v>758</v>
      </c>
      <c r="S60" s="1" t="s">
        <v>1299</v>
      </c>
      <c r="T60" s="1" t="s">
        <v>1299</v>
      </c>
      <c r="U60" s="1">
        <v>0</v>
      </c>
      <c r="V60" s="1">
        <v>0</v>
      </c>
      <c r="W60" s="1">
        <v>0</v>
      </c>
      <c r="X60" s="4" t="b">
        <v>1</v>
      </c>
    </row>
    <row r="61" spans="1:24" ht="17" customHeight="1" x14ac:dyDescent="0.2">
      <c r="A61" s="1" t="s">
        <v>1299</v>
      </c>
      <c r="B61" s="1" t="s">
        <v>1299</v>
      </c>
      <c r="C61" s="1" t="s">
        <v>37</v>
      </c>
      <c r="D61" s="1">
        <v>240</v>
      </c>
      <c r="E61" s="1">
        <v>249</v>
      </c>
      <c r="G61" s="1" t="s">
        <v>1301</v>
      </c>
      <c r="I61" s="1" t="s">
        <v>22</v>
      </c>
      <c r="J61" s="1" t="s">
        <v>1712</v>
      </c>
      <c r="K61" s="1">
        <v>1507</v>
      </c>
      <c r="L61" s="1">
        <v>1536</v>
      </c>
      <c r="M61" s="1" t="s">
        <v>1590</v>
      </c>
      <c r="N61" s="1" t="s">
        <v>1590</v>
      </c>
      <c r="O61" s="1" t="s">
        <v>1531</v>
      </c>
      <c r="P61" s="1" t="s">
        <v>1767</v>
      </c>
      <c r="Q61" s="1">
        <v>729</v>
      </c>
      <c r="R61" s="1">
        <v>758</v>
      </c>
      <c r="S61" s="1" t="s">
        <v>1299</v>
      </c>
      <c r="T61" s="1" t="s">
        <v>1299</v>
      </c>
      <c r="U61" s="1">
        <v>0</v>
      </c>
      <c r="V61" s="1">
        <v>0</v>
      </c>
      <c r="W61" s="1">
        <v>0</v>
      </c>
      <c r="X61" s="4" t="b">
        <v>1</v>
      </c>
    </row>
    <row r="62" spans="1:24" ht="17" customHeight="1" x14ac:dyDescent="0.2">
      <c r="A62" s="1" t="s">
        <v>884</v>
      </c>
      <c r="B62" s="1" t="s">
        <v>884</v>
      </c>
      <c r="C62" s="1" t="s">
        <v>37</v>
      </c>
      <c r="D62" s="1">
        <v>253</v>
      </c>
      <c r="E62" s="1">
        <v>262</v>
      </c>
      <c r="F62" s="1" t="s">
        <v>885</v>
      </c>
      <c r="G62" s="1" t="s">
        <v>886</v>
      </c>
      <c r="I62" s="1" t="s">
        <v>22</v>
      </c>
      <c r="J62" s="1" t="s">
        <v>1802</v>
      </c>
      <c r="K62" s="1">
        <v>1546</v>
      </c>
      <c r="L62" s="1">
        <v>1575</v>
      </c>
      <c r="M62" s="1" t="s">
        <v>887</v>
      </c>
      <c r="N62" s="1" t="s">
        <v>888</v>
      </c>
      <c r="O62" s="1" t="s">
        <v>889</v>
      </c>
      <c r="P62" s="1" t="s">
        <v>887</v>
      </c>
      <c r="Q62" s="1">
        <v>768</v>
      </c>
      <c r="R62" s="1">
        <v>797</v>
      </c>
      <c r="S62" s="1" t="s">
        <v>890</v>
      </c>
      <c r="T62" s="1" t="s">
        <v>890</v>
      </c>
      <c r="U62" s="1">
        <v>1</v>
      </c>
      <c r="V62" s="1">
        <v>1</v>
      </c>
      <c r="W62" s="1">
        <v>0</v>
      </c>
      <c r="X62" s="4" t="b">
        <v>0</v>
      </c>
    </row>
    <row r="63" spans="1:24" ht="17" customHeight="1" x14ac:dyDescent="0.2">
      <c r="A63" s="1" t="s">
        <v>923</v>
      </c>
      <c r="B63" s="1" t="s">
        <v>923</v>
      </c>
      <c r="C63" s="1" t="s">
        <v>37</v>
      </c>
      <c r="D63" s="1">
        <v>254</v>
      </c>
      <c r="E63" s="1">
        <v>262</v>
      </c>
      <c r="F63" s="1" t="s">
        <v>924</v>
      </c>
      <c r="G63" s="1" t="s">
        <v>925</v>
      </c>
      <c r="H63" s="1" t="s">
        <v>31</v>
      </c>
      <c r="I63" s="1" t="s">
        <v>22</v>
      </c>
      <c r="J63" s="1" t="s">
        <v>152</v>
      </c>
      <c r="K63" s="1">
        <v>1549</v>
      </c>
      <c r="L63" s="1">
        <v>1575</v>
      </c>
      <c r="M63" s="1" t="s">
        <v>926</v>
      </c>
      <c r="N63" s="1" t="s">
        <v>927</v>
      </c>
      <c r="O63" s="1" t="s">
        <v>928</v>
      </c>
      <c r="P63" s="1" t="s">
        <v>926</v>
      </c>
      <c r="Q63" s="1">
        <v>771</v>
      </c>
      <c r="R63" s="1">
        <v>797</v>
      </c>
      <c r="S63" s="1" t="s">
        <v>929</v>
      </c>
      <c r="T63" s="1" t="s">
        <v>929</v>
      </c>
      <c r="U63" s="1">
        <v>1</v>
      </c>
      <c r="V63" s="1">
        <v>1</v>
      </c>
      <c r="W63" s="1">
        <v>0</v>
      </c>
      <c r="X63" s="4" t="b">
        <v>0</v>
      </c>
    </row>
    <row r="64" spans="1:24" ht="17" customHeight="1" x14ac:dyDescent="0.2">
      <c r="A64" s="1" t="s">
        <v>201</v>
      </c>
      <c r="B64" s="1" t="s">
        <v>201</v>
      </c>
      <c r="C64" s="1" t="s">
        <v>37</v>
      </c>
      <c r="D64" s="1">
        <v>260</v>
      </c>
      <c r="E64" s="1">
        <v>267</v>
      </c>
      <c r="F64" s="1" t="s">
        <v>202</v>
      </c>
      <c r="G64" s="1" t="s">
        <v>203</v>
      </c>
      <c r="H64" s="1" t="s">
        <v>31</v>
      </c>
      <c r="I64" s="1" t="s">
        <v>22</v>
      </c>
      <c r="J64" s="1" t="s">
        <v>145</v>
      </c>
      <c r="K64" s="1">
        <v>1567</v>
      </c>
      <c r="L64" s="1">
        <v>1590</v>
      </c>
      <c r="M64" s="1" t="s">
        <v>204</v>
      </c>
      <c r="N64" s="1" t="s">
        <v>205</v>
      </c>
      <c r="O64" s="1" t="s">
        <v>26</v>
      </c>
      <c r="P64" s="1" t="s">
        <v>204</v>
      </c>
      <c r="Q64" s="1">
        <v>789</v>
      </c>
      <c r="R64" s="1">
        <v>812</v>
      </c>
      <c r="S64" s="1" t="s">
        <v>201</v>
      </c>
      <c r="T64" s="1" t="s">
        <v>201</v>
      </c>
      <c r="U64" s="1">
        <v>0</v>
      </c>
      <c r="V64" s="1">
        <v>0</v>
      </c>
      <c r="W64" s="1">
        <v>0</v>
      </c>
      <c r="X64" s="4" t="b">
        <v>1</v>
      </c>
    </row>
    <row r="65" spans="1:24" ht="17" customHeight="1" x14ac:dyDescent="0.2">
      <c r="A65" s="1" t="s">
        <v>1137</v>
      </c>
      <c r="B65" s="1" t="s">
        <v>1137</v>
      </c>
      <c r="C65" s="1" t="s">
        <v>37</v>
      </c>
      <c r="D65" s="1">
        <v>263</v>
      </c>
      <c r="E65" s="1">
        <v>272</v>
      </c>
      <c r="F65" s="1" t="s">
        <v>749</v>
      </c>
      <c r="G65" s="1" t="s">
        <v>750</v>
      </c>
      <c r="I65" s="1" t="s">
        <v>22</v>
      </c>
      <c r="J65" s="1" t="s">
        <v>833</v>
      </c>
      <c r="K65" s="1">
        <v>1576</v>
      </c>
      <c r="L65" s="1">
        <v>1605</v>
      </c>
      <c r="M65" s="1" t="s">
        <v>1138</v>
      </c>
      <c r="N65" s="1" t="s">
        <v>752</v>
      </c>
      <c r="O65" s="1" t="s">
        <v>1139</v>
      </c>
      <c r="P65" s="1" t="s">
        <v>1138</v>
      </c>
      <c r="Q65" s="1">
        <v>798</v>
      </c>
      <c r="R65" s="1">
        <v>827</v>
      </c>
      <c r="S65" s="1" t="s">
        <v>748</v>
      </c>
      <c r="T65" s="1" t="s">
        <v>748</v>
      </c>
      <c r="U65" s="1">
        <v>3</v>
      </c>
      <c r="V65" s="1">
        <v>3</v>
      </c>
      <c r="W65" s="1">
        <v>0</v>
      </c>
      <c r="X65" s="4" t="b">
        <v>0</v>
      </c>
    </row>
    <row r="66" spans="1:24" ht="17" customHeight="1" x14ac:dyDescent="0.2">
      <c r="A66" s="1" t="s">
        <v>748</v>
      </c>
      <c r="B66" s="1" t="s">
        <v>748</v>
      </c>
      <c r="C66" s="1" t="s">
        <v>37</v>
      </c>
      <c r="D66" s="1">
        <v>263</v>
      </c>
      <c r="E66" s="1">
        <v>272</v>
      </c>
      <c r="F66" s="1" t="s">
        <v>749</v>
      </c>
      <c r="G66" s="1" t="s">
        <v>750</v>
      </c>
      <c r="H66" s="1" t="s">
        <v>31</v>
      </c>
      <c r="I66" s="1" t="s">
        <v>22</v>
      </c>
      <c r="J66" s="1" t="s">
        <v>419</v>
      </c>
      <c r="K66" s="1">
        <v>1576</v>
      </c>
      <c r="L66" s="1">
        <v>1605</v>
      </c>
      <c r="M66" s="1" t="s">
        <v>751</v>
      </c>
      <c r="N66" s="1" t="s">
        <v>752</v>
      </c>
      <c r="O66" s="1" t="s">
        <v>753</v>
      </c>
      <c r="P66" s="1" t="s">
        <v>751</v>
      </c>
      <c r="Q66" s="1">
        <v>798</v>
      </c>
      <c r="R66" s="1">
        <v>827</v>
      </c>
      <c r="S66" s="1" t="s">
        <v>748</v>
      </c>
      <c r="T66" s="1" t="s">
        <v>748</v>
      </c>
      <c r="U66" s="1">
        <v>0</v>
      </c>
      <c r="V66" s="1">
        <v>0</v>
      </c>
      <c r="W66" s="1">
        <v>0</v>
      </c>
      <c r="X66" s="4" t="b">
        <v>1</v>
      </c>
    </row>
    <row r="67" spans="1:24" ht="17" customHeight="1" x14ac:dyDescent="0.2">
      <c r="A67" s="1" t="s">
        <v>390</v>
      </c>
      <c r="B67" s="1" t="s">
        <v>390</v>
      </c>
      <c r="C67" s="1" t="s">
        <v>37</v>
      </c>
      <c r="D67" s="1">
        <v>269</v>
      </c>
      <c r="E67" s="1">
        <v>277</v>
      </c>
      <c r="F67" s="1" t="s">
        <v>391</v>
      </c>
      <c r="G67" s="1" t="s">
        <v>392</v>
      </c>
      <c r="H67" s="1" t="s">
        <v>31</v>
      </c>
      <c r="I67" s="1" t="s">
        <v>22</v>
      </c>
      <c r="J67" s="1" t="s">
        <v>1832</v>
      </c>
      <c r="K67" s="1">
        <v>1594</v>
      </c>
      <c r="L67" s="1">
        <v>1620</v>
      </c>
      <c r="M67" s="1" t="s">
        <v>393</v>
      </c>
      <c r="N67" s="1" t="s">
        <v>393</v>
      </c>
      <c r="O67" s="1" t="s">
        <v>394</v>
      </c>
      <c r="P67" s="1" t="s">
        <v>393</v>
      </c>
      <c r="Q67" s="1">
        <v>816</v>
      </c>
      <c r="R67" s="1">
        <v>842</v>
      </c>
      <c r="S67" s="1" t="s">
        <v>390</v>
      </c>
      <c r="T67" s="1" t="s">
        <v>390</v>
      </c>
      <c r="U67" s="1">
        <v>0</v>
      </c>
      <c r="V67" s="1">
        <v>0</v>
      </c>
      <c r="W67" s="1">
        <v>0</v>
      </c>
      <c r="X67" s="4" t="b">
        <v>1</v>
      </c>
    </row>
    <row r="68" spans="1:24" ht="17" customHeight="1" x14ac:dyDescent="0.2">
      <c r="A68" s="1" t="s">
        <v>390</v>
      </c>
      <c r="B68" s="1" t="s">
        <v>390</v>
      </c>
      <c r="C68" s="1" t="s">
        <v>37</v>
      </c>
      <c r="D68" s="1">
        <v>269</v>
      </c>
      <c r="E68" s="1">
        <v>277</v>
      </c>
      <c r="G68" s="1" t="s">
        <v>392</v>
      </c>
      <c r="H68" s="1" t="s">
        <v>31</v>
      </c>
      <c r="I68" s="1" t="s">
        <v>22</v>
      </c>
      <c r="J68" s="1" t="s">
        <v>1833</v>
      </c>
      <c r="K68" s="1">
        <v>1594</v>
      </c>
      <c r="L68" s="1">
        <v>1620</v>
      </c>
      <c r="M68" s="1" t="s">
        <v>1710</v>
      </c>
      <c r="N68" s="1" t="e">
        <v>#N/A</v>
      </c>
      <c r="O68" s="1" t="s">
        <v>1711</v>
      </c>
      <c r="P68" s="1" t="s">
        <v>1710</v>
      </c>
      <c r="Q68" s="1">
        <v>816</v>
      </c>
      <c r="R68" s="1">
        <v>842</v>
      </c>
      <c r="S68" s="1" t="s">
        <v>390</v>
      </c>
      <c r="T68" s="1" t="s">
        <v>390</v>
      </c>
      <c r="U68" s="1">
        <v>0</v>
      </c>
      <c r="V68" s="1">
        <v>0</v>
      </c>
      <c r="W68" s="1">
        <v>0</v>
      </c>
      <c r="X68" s="4" t="b">
        <v>1</v>
      </c>
    </row>
    <row r="69" spans="1:24" ht="17" customHeight="1" x14ac:dyDescent="0.2">
      <c r="A69" s="1" t="s">
        <v>1404</v>
      </c>
      <c r="B69" s="1" t="s">
        <v>1404</v>
      </c>
      <c r="C69" s="1" t="s">
        <v>37</v>
      </c>
      <c r="D69" s="1">
        <v>274</v>
      </c>
      <c r="E69" s="1">
        <v>282</v>
      </c>
      <c r="F69" s="1" t="s">
        <v>1405</v>
      </c>
      <c r="G69" s="1" t="s">
        <v>1406</v>
      </c>
      <c r="I69" s="1" t="s">
        <v>22</v>
      </c>
      <c r="J69" s="1" t="s">
        <v>1834</v>
      </c>
      <c r="K69" s="1">
        <v>1609</v>
      </c>
      <c r="L69" s="1">
        <v>1635</v>
      </c>
      <c r="M69" s="1" t="s">
        <v>1407</v>
      </c>
      <c r="N69" s="1" t="s">
        <v>1407</v>
      </c>
      <c r="O69" s="1" t="s">
        <v>1408</v>
      </c>
      <c r="P69" s="1" t="s">
        <v>1407</v>
      </c>
      <c r="Q69" s="1">
        <v>831</v>
      </c>
      <c r="R69" s="1">
        <v>857</v>
      </c>
      <c r="S69" s="1" t="s">
        <v>1409</v>
      </c>
      <c r="T69" s="1" t="s">
        <v>1409</v>
      </c>
      <c r="U69" s="1">
        <v>1</v>
      </c>
      <c r="V69" s="1">
        <v>1</v>
      </c>
      <c r="W69" s="1">
        <v>0</v>
      </c>
      <c r="X69" s="4" t="b">
        <v>0</v>
      </c>
    </row>
    <row r="70" spans="1:24" ht="17" customHeight="1" x14ac:dyDescent="0.2">
      <c r="A70" s="1" t="s">
        <v>1409</v>
      </c>
      <c r="B70" s="1" t="s">
        <v>1409</v>
      </c>
      <c r="C70" s="1" t="s">
        <v>37</v>
      </c>
      <c r="D70" s="1">
        <v>274</v>
      </c>
      <c r="E70" s="1">
        <v>282</v>
      </c>
      <c r="G70" s="1" t="s">
        <v>1406</v>
      </c>
      <c r="I70" s="1" t="s">
        <v>22</v>
      </c>
      <c r="J70" s="1" t="s">
        <v>1835</v>
      </c>
      <c r="K70" s="1">
        <v>1609</v>
      </c>
      <c r="L70" s="1">
        <v>1635</v>
      </c>
      <c r="M70" s="1" t="s">
        <v>1604</v>
      </c>
      <c r="N70" s="1" t="s">
        <v>1604</v>
      </c>
      <c r="O70" s="1" t="s">
        <v>1531</v>
      </c>
      <c r="P70" s="1" t="s">
        <v>1604</v>
      </c>
      <c r="Q70" s="1">
        <v>831</v>
      </c>
      <c r="R70" s="1">
        <v>857</v>
      </c>
      <c r="S70" s="1" t="s">
        <v>1409</v>
      </c>
      <c r="T70" s="1" t="s">
        <v>1409</v>
      </c>
      <c r="U70" s="1">
        <v>1</v>
      </c>
      <c r="V70" s="1">
        <v>1</v>
      </c>
      <c r="W70" s="1">
        <v>0</v>
      </c>
      <c r="X70" s="4" t="b">
        <v>1</v>
      </c>
    </row>
    <row r="71" spans="1:24" ht="17" customHeight="1" x14ac:dyDescent="0.2">
      <c r="A71" s="1" t="s">
        <v>1052</v>
      </c>
      <c r="B71" s="1" t="s">
        <v>1052</v>
      </c>
      <c r="C71" s="1" t="s">
        <v>37</v>
      </c>
      <c r="D71" s="1">
        <v>275</v>
      </c>
      <c r="E71" s="1">
        <v>282</v>
      </c>
      <c r="F71" s="1" t="s">
        <v>1053</v>
      </c>
      <c r="G71" s="1" t="s">
        <v>1054</v>
      </c>
      <c r="I71" s="1" t="s">
        <v>22</v>
      </c>
      <c r="J71" s="1" t="s">
        <v>1055</v>
      </c>
      <c r="K71" s="1">
        <v>1612</v>
      </c>
      <c r="L71" s="1">
        <v>1635</v>
      </c>
      <c r="M71" s="1" t="s">
        <v>1056</v>
      </c>
      <c r="N71" s="1" t="s">
        <v>1057</v>
      </c>
      <c r="O71" s="1" t="s">
        <v>26</v>
      </c>
      <c r="P71" s="1" t="s">
        <v>1056</v>
      </c>
      <c r="Q71" s="1">
        <v>834</v>
      </c>
      <c r="R71" s="1">
        <v>857</v>
      </c>
      <c r="S71" s="1" t="s">
        <v>1052</v>
      </c>
      <c r="T71" s="1" t="s">
        <v>1052</v>
      </c>
      <c r="U71" s="1">
        <v>0</v>
      </c>
      <c r="V71" s="1">
        <v>0</v>
      </c>
      <c r="W71" s="1">
        <v>0</v>
      </c>
      <c r="X71" s="4" t="b">
        <v>1</v>
      </c>
    </row>
    <row r="72" spans="1:24" ht="17" customHeight="1" x14ac:dyDescent="0.2">
      <c r="A72" s="1" t="s">
        <v>1498</v>
      </c>
      <c r="B72" s="1" t="s">
        <v>1498</v>
      </c>
      <c r="C72" s="1" t="s">
        <v>37</v>
      </c>
      <c r="D72" s="1">
        <v>277</v>
      </c>
      <c r="E72" s="1">
        <v>285</v>
      </c>
      <c r="F72" s="1" t="s">
        <v>1499</v>
      </c>
      <c r="G72" s="1" t="s">
        <v>1500</v>
      </c>
      <c r="H72" s="1" t="s">
        <v>1501</v>
      </c>
      <c r="I72" s="1" t="s">
        <v>22</v>
      </c>
      <c r="J72" s="1" t="s">
        <v>894</v>
      </c>
      <c r="K72" s="1">
        <v>1618</v>
      </c>
      <c r="L72" s="1">
        <v>1644</v>
      </c>
      <c r="M72" s="1" t="s">
        <v>1502</v>
      </c>
      <c r="N72" s="1" t="s">
        <v>1503</v>
      </c>
      <c r="O72" s="1" t="s">
        <v>1504</v>
      </c>
      <c r="P72" s="1" t="s">
        <v>1502</v>
      </c>
      <c r="Q72" s="1">
        <v>840</v>
      </c>
      <c r="R72" s="1">
        <v>866</v>
      </c>
      <c r="S72" s="1" t="s">
        <v>1505</v>
      </c>
      <c r="T72" s="1" t="s">
        <v>1505</v>
      </c>
      <c r="U72" s="1">
        <v>1</v>
      </c>
      <c r="V72" s="1">
        <v>1</v>
      </c>
      <c r="W72" s="1">
        <v>0</v>
      </c>
      <c r="X72" s="4" t="b">
        <v>0</v>
      </c>
    </row>
    <row r="73" spans="1:24" ht="17" customHeight="1" x14ac:dyDescent="0.2">
      <c r="A73" s="1" t="s">
        <v>323</v>
      </c>
      <c r="B73" s="1" t="s">
        <v>323</v>
      </c>
      <c r="C73" s="1" t="s">
        <v>37</v>
      </c>
      <c r="D73" s="1">
        <v>293</v>
      </c>
      <c r="E73" s="1">
        <v>301</v>
      </c>
      <c r="F73" s="1" t="s">
        <v>324</v>
      </c>
      <c r="G73" s="1" t="s">
        <v>325</v>
      </c>
      <c r="I73" s="1" t="s">
        <v>22</v>
      </c>
      <c r="J73" s="1" t="s">
        <v>1835</v>
      </c>
      <c r="K73" s="1">
        <v>1666</v>
      </c>
      <c r="L73" s="1">
        <v>1692</v>
      </c>
      <c r="M73" s="1" t="s">
        <v>326</v>
      </c>
      <c r="N73" s="1" t="s">
        <v>326</v>
      </c>
      <c r="O73" s="1" t="s">
        <v>327</v>
      </c>
      <c r="P73" s="1" t="s">
        <v>326</v>
      </c>
      <c r="Q73" s="1">
        <v>888</v>
      </c>
      <c r="R73" s="1">
        <v>914</v>
      </c>
      <c r="S73" s="1" t="s">
        <v>328</v>
      </c>
      <c r="T73" s="1" t="s">
        <v>328</v>
      </c>
      <c r="U73" s="1">
        <v>1</v>
      </c>
      <c r="V73" s="1">
        <v>1</v>
      </c>
      <c r="W73" s="1">
        <v>0</v>
      </c>
      <c r="X73" s="4" t="b">
        <v>0</v>
      </c>
    </row>
    <row r="74" spans="1:24" ht="17" customHeight="1" x14ac:dyDescent="0.2">
      <c r="A74" s="1" t="s">
        <v>329</v>
      </c>
      <c r="B74" s="1" t="s">
        <v>329</v>
      </c>
      <c r="C74" s="1" t="s">
        <v>37</v>
      </c>
      <c r="D74" s="1">
        <v>293</v>
      </c>
      <c r="E74" s="1">
        <v>302</v>
      </c>
      <c r="F74" s="1" t="s">
        <v>330</v>
      </c>
      <c r="G74" s="1" t="s">
        <v>331</v>
      </c>
      <c r="H74" s="1" t="s">
        <v>332</v>
      </c>
      <c r="I74" s="1" t="s">
        <v>22</v>
      </c>
      <c r="J74" s="1" t="s">
        <v>333</v>
      </c>
      <c r="K74" s="1">
        <v>1666</v>
      </c>
      <c r="L74" s="1">
        <v>1695</v>
      </c>
      <c r="M74" s="1" t="s">
        <v>334</v>
      </c>
      <c r="N74" s="1" t="s">
        <v>335</v>
      </c>
      <c r="O74" s="1" t="s">
        <v>26</v>
      </c>
      <c r="P74" s="1" t="s">
        <v>334</v>
      </c>
      <c r="Q74" s="1">
        <v>888</v>
      </c>
      <c r="R74" s="1">
        <v>917</v>
      </c>
      <c r="S74" s="1" t="s">
        <v>329</v>
      </c>
      <c r="T74" s="1" t="s">
        <v>329</v>
      </c>
      <c r="U74" s="1">
        <v>0</v>
      </c>
      <c r="V74" s="1">
        <v>0</v>
      </c>
      <c r="W74" s="1">
        <v>0</v>
      </c>
      <c r="X74" s="4" t="b">
        <v>1</v>
      </c>
    </row>
    <row r="75" spans="1:24" ht="17" customHeight="1" x14ac:dyDescent="0.2">
      <c r="A75" s="1" t="s">
        <v>984</v>
      </c>
      <c r="B75" s="1" t="s">
        <v>984</v>
      </c>
      <c r="C75" s="1" t="s">
        <v>37</v>
      </c>
      <c r="D75" s="1">
        <v>294</v>
      </c>
      <c r="E75" s="1">
        <v>304</v>
      </c>
      <c r="F75" s="1" t="s">
        <v>985</v>
      </c>
      <c r="G75" s="1" t="s">
        <v>986</v>
      </c>
      <c r="H75" s="1" t="s">
        <v>31</v>
      </c>
      <c r="I75" s="1" t="s">
        <v>22</v>
      </c>
      <c r="J75" s="1" t="s">
        <v>1790</v>
      </c>
      <c r="K75" s="1">
        <v>1669</v>
      </c>
      <c r="L75" s="1">
        <v>1701</v>
      </c>
      <c r="M75" s="1" t="s">
        <v>987</v>
      </c>
      <c r="N75" s="1" t="s">
        <v>988</v>
      </c>
      <c r="O75" s="1" t="s">
        <v>989</v>
      </c>
      <c r="P75" s="1" t="s">
        <v>1801</v>
      </c>
      <c r="Q75" s="1">
        <v>891</v>
      </c>
      <c r="R75" s="1">
        <v>923</v>
      </c>
      <c r="S75" s="1" t="s">
        <v>984</v>
      </c>
      <c r="T75" s="1" t="s">
        <v>984</v>
      </c>
      <c r="U75" s="1">
        <v>0</v>
      </c>
      <c r="V75" s="1">
        <v>0</v>
      </c>
      <c r="W75" s="1">
        <v>0</v>
      </c>
      <c r="X75" s="4" t="b">
        <v>1</v>
      </c>
    </row>
    <row r="76" spans="1:24" ht="17" customHeight="1" x14ac:dyDescent="0.2">
      <c r="A76" s="2" t="s">
        <v>1775</v>
      </c>
      <c r="B76" s="2" t="s">
        <v>1775</v>
      </c>
      <c r="C76" s="3" t="s">
        <v>37</v>
      </c>
      <c r="D76" s="2">
        <v>294</v>
      </c>
      <c r="E76" s="2">
        <v>304</v>
      </c>
      <c r="F76" s="3" t="s">
        <v>985</v>
      </c>
      <c r="G76" s="3" t="s">
        <v>986</v>
      </c>
      <c r="H76" s="3" t="s">
        <v>1277</v>
      </c>
      <c r="I76" s="3" t="s">
        <v>22</v>
      </c>
      <c r="J76" s="3" t="s">
        <v>775</v>
      </c>
      <c r="K76" s="1">
        <v>1669</v>
      </c>
      <c r="L76" s="1">
        <v>1701</v>
      </c>
      <c r="M76" s="1" t="s">
        <v>1776</v>
      </c>
      <c r="P76" s="1" t="s">
        <v>1776</v>
      </c>
      <c r="Q76" s="1">
        <v>891</v>
      </c>
      <c r="R76" s="1">
        <v>923</v>
      </c>
      <c r="S76" s="1" t="s">
        <v>984</v>
      </c>
      <c r="T76" s="1" t="s">
        <v>984</v>
      </c>
    </row>
    <row r="77" spans="1:24" ht="17" customHeight="1" x14ac:dyDescent="0.2">
      <c r="A77" s="1" t="s">
        <v>1524</v>
      </c>
      <c r="B77" s="1" t="s">
        <v>1524</v>
      </c>
      <c r="C77" s="1" t="s">
        <v>37</v>
      </c>
      <c r="D77" s="1">
        <v>296</v>
      </c>
      <c r="E77" s="1">
        <v>304</v>
      </c>
      <c r="F77" s="1" t="s">
        <v>1519</v>
      </c>
      <c r="G77" s="1" t="s">
        <v>1520</v>
      </c>
      <c r="I77" s="1" t="s">
        <v>22</v>
      </c>
      <c r="J77" s="1" t="s">
        <v>1814</v>
      </c>
      <c r="K77" s="1">
        <v>1675</v>
      </c>
      <c r="L77" s="1">
        <v>1701</v>
      </c>
      <c r="M77" s="1" t="s">
        <v>1525</v>
      </c>
      <c r="N77" s="1" t="s">
        <v>1526</v>
      </c>
      <c r="O77" s="1" t="s">
        <v>1527</v>
      </c>
      <c r="P77" s="1" t="s">
        <v>1525</v>
      </c>
      <c r="Q77" s="1">
        <v>897</v>
      </c>
      <c r="R77" s="1">
        <v>923</v>
      </c>
      <c r="S77" s="1" t="s">
        <v>1524</v>
      </c>
      <c r="T77" s="1" t="s">
        <v>1524</v>
      </c>
      <c r="U77" s="1">
        <v>0</v>
      </c>
      <c r="V77" s="1">
        <v>0</v>
      </c>
      <c r="W77" s="1">
        <v>0</v>
      </c>
      <c r="X77" s="4" t="b">
        <v>1</v>
      </c>
    </row>
    <row r="78" spans="1:24" ht="17" customHeight="1" x14ac:dyDescent="0.2">
      <c r="A78" s="1" t="s">
        <v>1518</v>
      </c>
      <c r="B78" s="1" t="s">
        <v>1518</v>
      </c>
      <c r="C78" s="1" t="s">
        <v>37</v>
      </c>
      <c r="D78" s="1">
        <v>296</v>
      </c>
      <c r="E78" s="1">
        <v>304</v>
      </c>
      <c r="F78" s="1" t="s">
        <v>1519</v>
      </c>
      <c r="G78" s="1" t="s">
        <v>1520</v>
      </c>
      <c r="I78" s="1" t="s">
        <v>22</v>
      </c>
      <c r="J78" s="1" t="s">
        <v>1521</v>
      </c>
      <c r="K78" s="1">
        <v>1675</v>
      </c>
      <c r="L78" s="1">
        <v>1701</v>
      </c>
      <c r="M78" s="1" t="s">
        <v>1522</v>
      </c>
      <c r="N78" s="1" t="s">
        <v>1522</v>
      </c>
      <c r="O78" s="1" t="s">
        <v>1523</v>
      </c>
      <c r="P78" s="1" t="s">
        <v>1522</v>
      </c>
      <c r="Q78" s="1">
        <v>897</v>
      </c>
      <c r="R78" s="1">
        <v>923</v>
      </c>
      <c r="S78" s="1" t="s">
        <v>1524</v>
      </c>
      <c r="T78" s="1" t="s">
        <v>1524</v>
      </c>
      <c r="U78" s="1">
        <v>1</v>
      </c>
      <c r="V78" s="1">
        <v>1</v>
      </c>
      <c r="W78" s="1">
        <v>0</v>
      </c>
      <c r="X78" s="4" t="b">
        <v>0</v>
      </c>
    </row>
    <row r="79" spans="1:24" ht="17" customHeight="1" x14ac:dyDescent="0.2">
      <c r="A79" s="1" t="s">
        <v>1518</v>
      </c>
      <c r="B79" s="1" t="s">
        <v>1518</v>
      </c>
      <c r="C79" s="1" t="s">
        <v>37</v>
      </c>
      <c r="D79" s="1">
        <v>296</v>
      </c>
      <c r="E79" s="1">
        <v>304</v>
      </c>
      <c r="G79" s="1" t="s">
        <v>1520</v>
      </c>
      <c r="I79" s="1" t="s">
        <v>22</v>
      </c>
      <c r="J79" s="1" t="s">
        <v>1772</v>
      </c>
      <c r="K79" s="1">
        <v>1675</v>
      </c>
      <c r="L79" s="1">
        <v>1701</v>
      </c>
      <c r="M79" s="1" t="s">
        <v>1596</v>
      </c>
      <c r="N79" s="1" t="s">
        <v>1596</v>
      </c>
      <c r="O79" s="1" t="s">
        <v>1773</v>
      </c>
      <c r="P79" s="1" t="s">
        <v>1774</v>
      </c>
      <c r="Q79" s="1">
        <v>897</v>
      </c>
      <c r="R79" s="1">
        <v>923</v>
      </c>
      <c r="S79" s="1" t="s">
        <v>1524</v>
      </c>
      <c r="T79" s="1" t="s">
        <v>1524</v>
      </c>
      <c r="U79" s="1">
        <v>1</v>
      </c>
      <c r="V79" s="1">
        <v>1</v>
      </c>
      <c r="W79" s="1">
        <v>0</v>
      </c>
      <c r="X79" s="4" t="b">
        <v>0</v>
      </c>
    </row>
    <row r="80" spans="1:24" ht="17" customHeight="1" x14ac:dyDescent="0.2">
      <c r="A80" s="1" t="s">
        <v>156</v>
      </c>
      <c r="B80" s="1" t="s">
        <v>156</v>
      </c>
      <c r="C80" s="1" t="s">
        <v>37</v>
      </c>
      <c r="D80" s="1">
        <v>298</v>
      </c>
      <c r="E80" s="1">
        <v>306</v>
      </c>
      <c r="F80" s="1" t="s">
        <v>157</v>
      </c>
      <c r="G80" s="1" t="s">
        <v>158</v>
      </c>
      <c r="H80" s="1" t="s">
        <v>31</v>
      </c>
      <c r="I80" s="1" t="s">
        <v>22</v>
      </c>
      <c r="J80" s="1" t="s">
        <v>1816</v>
      </c>
      <c r="K80" s="1">
        <v>1681</v>
      </c>
      <c r="L80" s="1">
        <v>1707</v>
      </c>
      <c r="M80" s="1" t="s">
        <v>159</v>
      </c>
      <c r="N80" s="1" t="s">
        <v>160</v>
      </c>
      <c r="O80" s="1" t="s">
        <v>161</v>
      </c>
      <c r="P80" s="1" t="s">
        <v>159</v>
      </c>
      <c r="Q80" s="1">
        <v>903</v>
      </c>
      <c r="R80" s="1">
        <v>929</v>
      </c>
      <c r="S80" s="1" t="s">
        <v>156</v>
      </c>
      <c r="T80" s="1" t="s">
        <v>156</v>
      </c>
      <c r="U80" s="1">
        <v>0</v>
      </c>
      <c r="V80" s="1">
        <v>0</v>
      </c>
      <c r="W80" s="1">
        <v>0</v>
      </c>
      <c r="X80" s="4" t="b">
        <v>1</v>
      </c>
    </row>
    <row r="81" spans="1:24" ht="17" customHeight="1" x14ac:dyDescent="0.2">
      <c r="A81" s="1" t="s">
        <v>65</v>
      </c>
      <c r="B81" s="1" t="s">
        <v>65</v>
      </c>
      <c r="C81" s="1" t="s">
        <v>37</v>
      </c>
      <c r="D81" s="1">
        <v>306</v>
      </c>
      <c r="E81" s="1">
        <v>316</v>
      </c>
      <c r="F81" s="1" t="s">
        <v>66</v>
      </c>
      <c r="G81" s="1" t="s">
        <v>67</v>
      </c>
      <c r="H81" s="1" t="s">
        <v>31</v>
      </c>
      <c r="I81" s="1" t="s">
        <v>22</v>
      </c>
      <c r="J81" s="1" t="s">
        <v>1808</v>
      </c>
      <c r="K81" s="1">
        <v>1705</v>
      </c>
      <c r="L81" s="1">
        <v>1737</v>
      </c>
      <c r="M81" s="1" t="s">
        <v>68</v>
      </c>
      <c r="N81" s="1" t="s">
        <v>69</v>
      </c>
      <c r="O81" s="1" t="s">
        <v>26</v>
      </c>
      <c r="P81" s="1" t="s">
        <v>68</v>
      </c>
      <c r="Q81" s="1">
        <v>927</v>
      </c>
      <c r="R81" s="1">
        <v>959</v>
      </c>
      <c r="S81" s="1" t="s">
        <v>70</v>
      </c>
      <c r="T81" s="1" t="s">
        <v>70</v>
      </c>
      <c r="U81" s="1">
        <v>1</v>
      </c>
      <c r="V81" s="1">
        <v>1</v>
      </c>
      <c r="W81" s="1">
        <v>0</v>
      </c>
      <c r="X81" s="4" t="b">
        <v>0</v>
      </c>
    </row>
    <row r="82" spans="1:24" ht="17" customHeight="1" x14ac:dyDescent="0.2">
      <c r="A82" s="1" t="s">
        <v>71</v>
      </c>
      <c r="B82" s="1" t="s">
        <v>71</v>
      </c>
      <c r="C82" s="1" t="s">
        <v>37</v>
      </c>
      <c r="D82" s="1">
        <v>306</v>
      </c>
      <c r="E82" s="1">
        <v>317</v>
      </c>
      <c r="F82" s="1" t="s">
        <v>72</v>
      </c>
      <c r="G82" s="1" t="s">
        <v>73</v>
      </c>
      <c r="I82" s="1" t="s">
        <v>22</v>
      </c>
      <c r="J82" s="1" t="s">
        <v>1836</v>
      </c>
      <c r="K82" s="1">
        <v>1705</v>
      </c>
      <c r="L82" s="1">
        <v>1740</v>
      </c>
      <c r="M82" s="1" t="s">
        <v>74</v>
      </c>
      <c r="N82" s="1" t="e">
        <v>#N/A</v>
      </c>
      <c r="O82" s="1" t="s">
        <v>75</v>
      </c>
      <c r="P82" s="1" t="s">
        <v>74</v>
      </c>
      <c r="Q82" s="1">
        <v>927</v>
      </c>
      <c r="R82" s="1">
        <v>962</v>
      </c>
      <c r="S82" s="1" t="s">
        <v>71</v>
      </c>
      <c r="T82" s="1" t="s">
        <v>71</v>
      </c>
      <c r="U82" s="1">
        <v>0</v>
      </c>
      <c r="V82" s="1">
        <v>0</v>
      </c>
      <c r="W82" s="1">
        <v>0</v>
      </c>
      <c r="X82" s="4" t="b">
        <v>1</v>
      </c>
    </row>
    <row r="83" spans="1:24" ht="17" customHeight="1" x14ac:dyDescent="0.2">
      <c r="A83" s="1" t="s">
        <v>936</v>
      </c>
      <c r="B83" s="1" t="s">
        <v>936</v>
      </c>
      <c r="C83" s="1" t="s">
        <v>37</v>
      </c>
      <c r="D83" s="1">
        <v>308</v>
      </c>
      <c r="E83" s="1">
        <v>316</v>
      </c>
      <c r="F83" s="1" t="s">
        <v>937</v>
      </c>
      <c r="G83" s="1" t="s">
        <v>938</v>
      </c>
      <c r="H83" s="1" t="s">
        <v>31</v>
      </c>
      <c r="I83" s="1" t="s">
        <v>22</v>
      </c>
      <c r="J83" s="1" t="s">
        <v>1806</v>
      </c>
      <c r="K83" s="1">
        <v>1711</v>
      </c>
      <c r="L83" s="1">
        <v>1737</v>
      </c>
      <c r="M83" s="1" t="s">
        <v>939</v>
      </c>
      <c r="N83" s="1" t="s">
        <v>940</v>
      </c>
      <c r="O83" s="1" t="s">
        <v>26</v>
      </c>
      <c r="P83" s="1" t="s">
        <v>939</v>
      </c>
      <c r="Q83" s="1">
        <v>933</v>
      </c>
      <c r="R83" s="1">
        <v>959</v>
      </c>
      <c r="S83" s="1" t="s">
        <v>936</v>
      </c>
      <c r="T83" s="1" t="s">
        <v>936</v>
      </c>
      <c r="U83" s="1">
        <v>0</v>
      </c>
      <c r="V83" s="1">
        <v>0</v>
      </c>
      <c r="W83" s="1">
        <v>0</v>
      </c>
      <c r="X83" s="4" t="b">
        <v>1</v>
      </c>
    </row>
    <row r="84" spans="1:24" ht="17" customHeight="1" x14ac:dyDescent="0.2">
      <c r="A84" s="1" t="s">
        <v>936</v>
      </c>
      <c r="B84" s="1" t="s">
        <v>936</v>
      </c>
      <c r="C84" s="1" t="s">
        <v>37</v>
      </c>
      <c r="D84" s="1">
        <v>308</v>
      </c>
      <c r="E84" s="1">
        <v>316</v>
      </c>
      <c r="G84" s="1" t="s">
        <v>938</v>
      </c>
      <c r="I84" s="1" t="s">
        <v>22</v>
      </c>
      <c r="J84" s="1" t="s">
        <v>124</v>
      </c>
      <c r="K84" s="1">
        <v>1711</v>
      </c>
      <c r="L84" s="1">
        <v>1737</v>
      </c>
      <c r="M84" s="1" t="s">
        <v>1587</v>
      </c>
      <c r="N84" s="1" t="s">
        <v>1587</v>
      </c>
      <c r="O84" s="1" t="s">
        <v>1531</v>
      </c>
      <c r="P84" s="1" t="s">
        <v>1738</v>
      </c>
      <c r="Q84" s="1">
        <v>933</v>
      </c>
      <c r="R84" s="1">
        <v>959</v>
      </c>
      <c r="S84" s="1" t="s">
        <v>936</v>
      </c>
      <c r="T84" s="1" t="s">
        <v>936</v>
      </c>
      <c r="U84" s="1">
        <v>0</v>
      </c>
      <c r="V84" s="1">
        <v>0</v>
      </c>
      <c r="W84" s="1">
        <v>0</v>
      </c>
      <c r="X84" s="4" t="b">
        <v>1</v>
      </c>
    </row>
    <row r="85" spans="1:24" ht="17" customHeight="1" x14ac:dyDescent="0.2">
      <c r="A85" s="1" t="s">
        <v>936</v>
      </c>
      <c r="B85" s="1" t="s">
        <v>936</v>
      </c>
      <c r="C85" s="1" t="s">
        <v>37</v>
      </c>
      <c r="D85" s="1">
        <v>308</v>
      </c>
      <c r="E85" s="1">
        <v>316</v>
      </c>
      <c r="G85" s="1" t="s">
        <v>938</v>
      </c>
      <c r="I85" s="1" t="s">
        <v>22</v>
      </c>
      <c r="J85" s="1" t="s">
        <v>1712</v>
      </c>
      <c r="K85" s="1">
        <v>1711</v>
      </c>
      <c r="L85" s="1">
        <v>1737</v>
      </c>
      <c r="M85" s="1" t="s">
        <v>1588</v>
      </c>
      <c r="N85" s="1" t="s">
        <v>1588</v>
      </c>
      <c r="O85" s="1" t="s">
        <v>1531</v>
      </c>
      <c r="P85" s="1" t="s">
        <v>1739</v>
      </c>
      <c r="Q85" s="1">
        <v>933</v>
      </c>
      <c r="R85" s="1">
        <v>959</v>
      </c>
      <c r="S85" s="1" t="s">
        <v>936</v>
      </c>
      <c r="T85" s="1" t="s">
        <v>936</v>
      </c>
      <c r="U85" s="1">
        <v>0</v>
      </c>
      <c r="V85" s="1">
        <v>0</v>
      </c>
      <c r="W85" s="1">
        <v>0</v>
      </c>
      <c r="X85" s="4" t="b">
        <v>1</v>
      </c>
    </row>
    <row r="86" spans="1:24" ht="17" customHeight="1" x14ac:dyDescent="0.2">
      <c r="A86" s="1" t="s">
        <v>1342</v>
      </c>
      <c r="B86" s="1" t="s">
        <v>1342</v>
      </c>
      <c r="C86" s="1" t="s">
        <v>37</v>
      </c>
      <c r="D86" s="1">
        <v>313</v>
      </c>
      <c r="E86" s="1">
        <v>321</v>
      </c>
      <c r="F86" s="1" t="s">
        <v>1343</v>
      </c>
      <c r="G86" s="1" t="s">
        <v>1344</v>
      </c>
      <c r="H86" s="1" t="s">
        <v>31</v>
      </c>
      <c r="I86" s="1" t="s">
        <v>22</v>
      </c>
      <c r="J86" s="1" t="s">
        <v>1345</v>
      </c>
      <c r="K86" s="1">
        <v>1726</v>
      </c>
      <c r="L86" s="1">
        <v>1752</v>
      </c>
      <c r="M86" s="1" t="s">
        <v>1346</v>
      </c>
      <c r="N86" s="1" t="e">
        <v>#N/A</v>
      </c>
      <c r="O86" s="1" t="s">
        <v>1347</v>
      </c>
      <c r="P86" s="1" t="s">
        <v>1346</v>
      </c>
      <c r="Q86" s="1">
        <v>948</v>
      </c>
      <c r="R86" s="1">
        <v>974</v>
      </c>
      <c r="S86" s="1" t="s">
        <v>1342</v>
      </c>
      <c r="T86" s="1" t="s">
        <v>1342</v>
      </c>
      <c r="U86" s="1">
        <v>0</v>
      </c>
      <c r="V86" s="1">
        <v>0</v>
      </c>
      <c r="W86" s="1">
        <v>0</v>
      </c>
      <c r="X86" s="4" t="b">
        <v>1</v>
      </c>
    </row>
    <row r="87" spans="1:24" ht="17" customHeight="1" x14ac:dyDescent="0.2">
      <c r="A87" s="1" t="s">
        <v>142</v>
      </c>
      <c r="B87" s="1" t="s">
        <v>142</v>
      </c>
      <c r="C87" s="1" t="s">
        <v>37</v>
      </c>
      <c r="D87" s="1">
        <v>329</v>
      </c>
      <c r="E87" s="1">
        <v>337</v>
      </c>
      <c r="F87" s="1" t="s">
        <v>143</v>
      </c>
      <c r="G87" s="1" t="s">
        <v>144</v>
      </c>
      <c r="H87" s="1" t="s">
        <v>31</v>
      </c>
      <c r="I87" s="1" t="s">
        <v>22</v>
      </c>
      <c r="J87" s="1" t="s">
        <v>145</v>
      </c>
      <c r="K87" s="1">
        <v>1774</v>
      </c>
      <c r="L87" s="1">
        <v>1800</v>
      </c>
      <c r="M87" s="1" t="s">
        <v>146</v>
      </c>
      <c r="N87" s="1" t="s">
        <v>147</v>
      </c>
      <c r="O87" s="1" t="s">
        <v>148</v>
      </c>
      <c r="P87" s="1" t="s">
        <v>146</v>
      </c>
      <c r="Q87" s="1">
        <v>996</v>
      </c>
      <c r="R87" s="1">
        <v>1022</v>
      </c>
      <c r="S87" s="1" t="s">
        <v>142</v>
      </c>
      <c r="T87" s="1" t="s">
        <v>142</v>
      </c>
      <c r="U87" s="1">
        <v>0</v>
      </c>
      <c r="V87" s="1">
        <v>0</v>
      </c>
      <c r="W87" s="1">
        <v>0</v>
      </c>
      <c r="X87" s="4" t="b">
        <v>1</v>
      </c>
    </row>
    <row r="88" spans="1:24" ht="17" customHeight="1" x14ac:dyDescent="0.2">
      <c r="A88" s="1" t="s">
        <v>36</v>
      </c>
      <c r="B88" s="1" t="s">
        <v>36</v>
      </c>
      <c r="C88" s="1" t="s">
        <v>37</v>
      </c>
      <c r="D88" s="1">
        <v>349</v>
      </c>
      <c r="E88" s="1">
        <v>359</v>
      </c>
      <c r="F88" s="1" t="s">
        <v>38</v>
      </c>
      <c r="G88" s="1" t="s">
        <v>39</v>
      </c>
      <c r="I88" s="1" t="s">
        <v>22</v>
      </c>
      <c r="J88" s="1" t="s">
        <v>40</v>
      </c>
      <c r="K88" s="1">
        <v>1834</v>
      </c>
      <c r="L88" s="1">
        <v>1866</v>
      </c>
      <c r="M88" s="1" t="s">
        <v>41</v>
      </c>
      <c r="N88" s="1" t="s">
        <v>42</v>
      </c>
      <c r="O88" s="1" t="s">
        <v>26</v>
      </c>
      <c r="P88" s="1" t="s">
        <v>41</v>
      </c>
      <c r="Q88" s="1">
        <v>1056</v>
      </c>
      <c r="R88" s="1">
        <v>1088</v>
      </c>
      <c r="S88" s="1" t="s">
        <v>36</v>
      </c>
      <c r="T88" s="1" t="s">
        <v>36</v>
      </c>
      <c r="U88" s="1">
        <v>0</v>
      </c>
      <c r="V88" s="1">
        <v>0</v>
      </c>
      <c r="W88" s="1">
        <v>0</v>
      </c>
      <c r="X88" s="4" t="b">
        <v>1</v>
      </c>
    </row>
    <row r="89" spans="1:24" ht="17" customHeight="1" x14ac:dyDescent="0.2">
      <c r="A89" s="1" t="s">
        <v>1543</v>
      </c>
      <c r="B89" s="1" t="s">
        <v>1543</v>
      </c>
      <c r="C89" s="1" t="s">
        <v>37</v>
      </c>
      <c r="G89" s="1" t="s">
        <v>1544</v>
      </c>
      <c r="I89" s="1" t="s">
        <v>22</v>
      </c>
      <c r="J89" s="1" t="s">
        <v>530</v>
      </c>
      <c r="K89" s="1">
        <v>1843</v>
      </c>
      <c r="L89" s="1">
        <v>1866</v>
      </c>
      <c r="M89" s="1" t="s">
        <v>1545</v>
      </c>
      <c r="N89" s="1" t="s">
        <v>1545</v>
      </c>
      <c r="O89" s="1" t="s">
        <v>1531</v>
      </c>
      <c r="P89" s="1" t="s">
        <v>1545</v>
      </c>
      <c r="Q89" s="1">
        <v>1065</v>
      </c>
      <c r="R89" s="1">
        <v>1088</v>
      </c>
      <c r="S89" s="1" t="s">
        <v>1543</v>
      </c>
      <c r="T89" s="1" t="s">
        <v>1543</v>
      </c>
      <c r="W89" s="1">
        <v>0</v>
      </c>
      <c r="X89" s="4" t="b">
        <v>1</v>
      </c>
    </row>
    <row r="90" spans="1:24" ht="17" customHeight="1" x14ac:dyDescent="0.2">
      <c r="A90" s="1" t="s">
        <v>395</v>
      </c>
      <c r="B90" s="1" t="s">
        <v>395</v>
      </c>
      <c r="C90" s="1" t="s">
        <v>37</v>
      </c>
      <c r="D90" s="1">
        <v>355</v>
      </c>
      <c r="E90" s="1">
        <v>363</v>
      </c>
      <c r="F90" s="1" t="s">
        <v>396</v>
      </c>
      <c r="G90" s="1" t="s">
        <v>397</v>
      </c>
      <c r="H90" s="1" t="s">
        <v>31</v>
      </c>
      <c r="I90" s="1" t="s">
        <v>22</v>
      </c>
      <c r="J90" s="1" t="s">
        <v>307</v>
      </c>
      <c r="K90" s="1">
        <v>1852</v>
      </c>
      <c r="L90" s="1">
        <v>1878</v>
      </c>
      <c r="M90" s="1" t="s">
        <v>398</v>
      </c>
      <c r="N90" s="1" t="s">
        <v>399</v>
      </c>
      <c r="O90" s="1" t="s">
        <v>400</v>
      </c>
      <c r="P90" s="1" t="s">
        <v>398</v>
      </c>
      <c r="Q90" s="1">
        <v>1074</v>
      </c>
      <c r="R90" s="1">
        <v>1100</v>
      </c>
      <c r="S90" s="1" t="s">
        <v>395</v>
      </c>
      <c r="T90" s="1" t="s">
        <v>395</v>
      </c>
      <c r="U90" s="1">
        <v>0</v>
      </c>
      <c r="V90" s="1">
        <v>0</v>
      </c>
      <c r="W90" s="1">
        <v>0</v>
      </c>
      <c r="X90" s="4" t="b">
        <v>1</v>
      </c>
    </row>
    <row r="91" spans="1:24" ht="17" customHeight="1" x14ac:dyDescent="0.2">
      <c r="A91" s="1" t="s">
        <v>1528</v>
      </c>
      <c r="B91" s="1" t="s">
        <v>1528</v>
      </c>
      <c r="C91" s="1" t="s">
        <v>37</v>
      </c>
      <c r="G91" s="1" t="s">
        <v>1529</v>
      </c>
      <c r="I91" s="1" t="s">
        <v>22</v>
      </c>
      <c r="J91" s="1" t="s">
        <v>1902</v>
      </c>
      <c r="K91" s="1">
        <v>1873</v>
      </c>
      <c r="L91" s="1">
        <v>1899</v>
      </c>
      <c r="M91" s="1" t="s">
        <v>1530</v>
      </c>
      <c r="N91" s="1" t="s">
        <v>1530</v>
      </c>
      <c r="O91" s="1" t="s">
        <v>1531</v>
      </c>
      <c r="P91" s="1" t="s">
        <v>1530</v>
      </c>
      <c r="Q91" s="1">
        <v>1095</v>
      </c>
      <c r="R91" s="1">
        <v>1121</v>
      </c>
      <c r="S91" s="1" t="s">
        <v>1528</v>
      </c>
      <c r="T91" s="1" t="s">
        <v>1528</v>
      </c>
      <c r="W91" s="1">
        <v>0</v>
      </c>
      <c r="X91" s="4" t="b">
        <v>1</v>
      </c>
    </row>
    <row r="92" spans="1:24" ht="17" customHeight="1" x14ac:dyDescent="0.2">
      <c r="A92" s="1" t="s">
        <v>43</v>
      </c>
      <c r="B92" s="1" t="s">
        <v>43</v>
      </c>
      <c r="C92" s="1" t="s">
        <v>37</v>
      </c>
      <c r="D92" s="1">
        <v>364</v>
      </c>
      <c r="E92" s="1">
        <v>373</v>
      </c>
      <c r="F92" s="1" t="s">
        <v>44</v>
      </c>
      <c r="G92" s="1" t="s">
        <v>45</v>
      </c>
      <c r="I92" s="1" t="s">
        <v>22</v>
      </c>
      <c r="J92" s="1" t="s">
        <v>46</v>
      </c>
      <c r="K92" s="1">
        <v>1879</v>
      </c>
      <c r="L92" s="1">
        <v>1908</v>
      </c>
      <c r="M92" s="1" t="s">
        <v>47</v>
      </c>
      <c r="N92" s="1" t="s">
        <v>48</v>
      </c>
      <c r="O92" s="1" t="s">
        <v>26</v>
      </c>
      <c r="P92" s="1" t="s">
        <v>47</v>
      </c>
      <c r="Q92" s="1">
        <v>1101</v>
      </c>
      <c r="R92" s="1">
        <v>1130</v>
      </c>
      <c r="S92" s="1" t="s">
        <v>43</v>
      </c>
      <c r="T92" s="1" t="s">
        <v>43</v>
      </c>
      <c r="U92" s="1">
        <v>0</v>
      </c>
      <c r="V92" s="1">
        <v>0</v>
      </c>
      <c r="W92" s="1">
        <v>0</v>
      </c>
      <c r="X92" s="4" t="b">
        <v>1</v>
      </c>
    </row>
    <row r="93" spans="1:24" ht="17" customHeight="1" x14ac:dyDescent="0.2">
      <c r="A93" s="1" t="s">
        <v>1569</v>
      </c>
      <c r="B93" s="1" t="s">
        <v>1569</v>
      </c>
      <c r="C93" s="1" t="s">
        <v>37</v>
      </c>
      <c r="G93" s="1" t="s">
        <v>1570</v>
      </c>
      <c r="I93" s="1" t="s">
        <v>22</v>
      </c>
      <c r="J93" s="1" t="s">
        <v>1838</v>
      </c>
      <c r="K93" s="1">
        <v>1924</v>
      </c>
      <c r="L93" s="1">
        <v>1953</v>
      </c>
      <c r="M93" s="1" t="s">
        <v>1571</v>
      </c>
      <c r="N93" s="1" t="s">
        <v>1571</v>
      </c>
      <c r="O93" s="1" t="s">
        <v>1531</v>
      </c>
      <c r="P93" s="1" t="s">
        <v>1571</v>
      </c>
      <c r="Q93" s="1">
        <v>1146</v>
      </c>
      <c r="R93" s="1">
        <v>1175</v>
      </c>
      <c r="S93" s="1" t="s">
        <v>1569</v>
      </c>
      <c r="T93" s="1" t="s">
        <v>1569</v>
      </c>
      <c r="W93" s="1">
        <v>0</v>
      </c>
      <c r="X93" s="4" t="b">
        <v>1</v>
      </c>
    </row>
    <row r="94" spans="1:24" ht="17" customHeight="1" x14ac:dyDescent="0.2">
      <c r="A94" s="1" t="s">
        <v>1565</v>
      </c>
      <c r="B94" s="1" t="s">
        <v>1565</v>
      </c>
      <c r="C94" s="1" t="s">
        <v>37</v>
      </c>
      <c r="G94" s="1" t="s">
        <v>1566</v>
      </c>
      <c r="I94" s="1" t="s">
        <v>22</v>
      </c>
      <c r="J94" s="1" t="s">
        <v>1838</v>
      </c>
      <c r="K94" s="1">
        <v>1936</v>
      </c>
      <c r="L94" s="1">
        <v>1962</v>
      </c>
      <c r="M94" s="1" t="s">
        <v>1567</v>
      </c>
      <c r="N94" s="1" t="s">
        <v>1567</v>
      </c>
      <c r="O94" s="1" t="s">
        <v>1531</v>
      </c>
      <c r="P94" s="1" t="s">
        <v>1567</v>
      </c>
      <c r="Q94" s="1">
        <v>1158</v>
      </c>
      <c r="R94" s="1">
        <v>1184</v>
      </c>
      <c r="S94" s="1" t="s">
        <v>1568</v>
      </c>
      <c r="T94" s="1" t="s">
        <v>1565</v>
      </c>
      <c r="W94" s="1">
        <v>1</v>
      </c>
      <c r="X94" s="4" t="b">
        <v>1</v>
      </c>
    </row>
    <row r="95" spans="1:24" ht="17" customHeight="1" x14ac:dyDescent="0.2">
      <c r="A95" s="1" t="s">
        <v>137</v>
      </c>
      <c r="B95" s="1" t="s">
        <v>137</v>
      </c>
      <c r="C95" s="1" t="s">
        <v>37</v>
      </c>
      <c r="D95" s="1">
        <v>405</v>
      </c>
      <c r="E95" s="1">
        <v>413</v>
      </c>
      <c r="F95" s="1" t="s">
        <v>138</v>
      </c>
      <c r="G95" s="1" t="s">
        <v>139</v>
      </c>
      <c r="I95" s="1" t="s">
        <v>22</v>
      </c>
      <c r="J95" s="1" t="s">
        <v>1839</v>
      </c>
      <c r="K95" s="1">
        <v>2002</v>
      </c>
      <c r="L95" s="1">
        <v>2028</v>
      </c>
      <c r="M95" s="1" t="s">
        <v>140</v>
      </c>
      <c r="N95" s="1" t="s">
        <v>140</v>
      </c>
      <c r="O95" s="1" t="s">
        <v>141</v>
      </c>
      <c r="P95" s="1" t="s">
        <v>140</v>
      </c>
      <c r="Q95" s="1">
        <v>1224</v>
      </c>
      <c r="R95" s="1">
        <v>1250</v>
      </c>
      <c r="S95" s="1" t="s">
        <v>137</v>
      </c>
      <c r="T95" s="1" t="s">
        <v>137</v>
      </c>
      <c r="U95" s="1">
        <v>0</v>
      </c>
      <c r="V95" s="1">
        <v>0</v>
      </c>
      <c r="W95" s="1">
        <v>0</v>
      </c>
      <c r="X95" s="4" t="b">
        <v>1</v>
      </c>
    </row>
    <row r="96" spans="1:24" ht="17" customHeight="1" x14ac:dyDescent="0.2">
      <c r="A96" s="1" t="s">
        <v>1622</v>
      </c>
      <c r="B96" s="1" t="s">
        <v>1622</v>
      </c>
      <c r="C96" s="1" t="s">
        <v>37</v>
      </c>
      <c r="D96" s="1">
        <v>407</v>
      </c>
      <c r="E96" s="1">
        <v>415</v>
      </c>
      <c r="G96" s="1" t="s">
        <v>1623</v>
      </c>
      <c r="I96" s="1" t="s">
        <v>22</v>
      </c>
      <c r="J96" s="1" t="s">
        <v>307</v>
      </c>
      <c r="K96" s="1">
        <v>2008</v>
      </c>
      <c r="L96" s="1">
        <v>2034</v>
      </c>
      <c r="M96" s="1" t="s">
        <v>1624</v>
      </c>
      <c r="N96" s="1" t="s">
        <v>1624</v>
      </c>
      <c r="O96" s="1" t="s">
        <v>1531</v>
      </c>
      <c r="P96" s="1" t="s">
        <v>1624</v>
      </c>
      <c r="Q96" s="1">
        <v>1230</v>
      </c>
      <c r="R96" s="1">
        <v>1256</v>
      </c>
      <c r="S96" s="1" t="s">
        <v>1622</v>
      </c>
      <c r="T96" s="1" t="s">
        <v>1622</v>
      </c>
      <c r="W96" s="1">
        <v>0</v>
      </c>
      <c r="X96" s="4" t="b">
        <v>1</v>
      </c>
    </row>
    <row r="97" spans="1:24" ht="17" customHeight="1" x14ac:dyDescent="0.2">
      <c r="A97" s="1" t="s">
        <v>1249</v>
      </c>
      <c r="B97" s="1" t="s">
        <v>1249</v>
      </c>
      <c r="C97" s="1" t="s">
        <v>37</v>
      </c>
      <c r="D97" s="1">
        <v>427</v>
      </c>
      <c r="E97" s="1">
        <v>434</v>
      </c>
      <c r="F97" s="1" t="s">
        <v>1250</v>
      </c>
      <c r="G97" s="1" t="s">
        <v>1251</v>
      </c>
      <c r="I97" s="1" t="s">
        <v>22</v>
      </c>
      <c r="J97" s="1" t="s">
        <v>79</v>
      </c>
      <c r="K97" s="1">
        <v>2068</v>
      </c>
      <c r="L97" s="1">
        <v>2091</v>
      </c>
      <c r="M97" s="1" t="s">
        <v>1252</v>
      </c>
      <c r="N97" s="1" t="e">
        <v>#N/A</v>
      </c>
      <c r="O97" s="1" t="s">
        <v>1253</v>
      </c>
      <c r="P97" s="1" t="s">
        <v>1252</v>
      </c>
      <c r="Q97" s="1">
        <v>1290</v>
      </c>
      <c r="R97" s="1">
        <v>1313</v>
      </c>
      <c r="S97" s="1" t="s">
        <v>1249</v>
      </c>
      <c r="T97" s="1" t="s">
        <v>1249</v>
      </c>
      <c r="U97" s="1">
        <v>0</v>
      </c>
      <c r="V97" s="1">
        <v>0</v>
      </c>
      <c r="W97" s="1">
        <v>0</v>
      </c>
      <c r="X97" s="4" t="b">
        <v>1</v>
      </c>
    </row>
    <row r="98" spans="1:24" ht="17" customHeight="1" x14ac:dyDescent="0.2">
      <c r="A98" s="1" t="s">
        <v>1092</v>
      </c>
      <c r="B98" s="1" t="s">
        <v>1092</v>
      </c>
      <c r="C98" s="1" t="s">
        <v>37</v>
      </c>
      <c r="D98" s="1">
        <v>429</v>
      </c>
      <c r="E98" s="1">
        <v>437</v>
      </c>
      <c r="G98" s="1" t="s">
        <v>1094</v>
      </c>
      <c r="I98" s="1" t="s">
        <v>22</v>
      </c>
      <c r="J98" s="1" t="s">
        <v>1904</v>
      </c>
      <c r="K98" s="1">
        <v>2074</v>
      </c>
      <c r="L98" s="1">
        <v>2100</v>
      </c>
      <c r="M98" s="1" t="s">
        <v>1563</v>
      </c>
      <c r="N98" s="1" t="s">
        <v>1563</v>
      </c>
      <c r="O98" s="1" t="s">
        <v>1531</v>
      </c>
      <c r="P98" s="1" t="s">
        <v>1563</v>
      </c>
      <c r="Q98" s="1">
        <v>1296</v>
      </c>
      <c r="R98" s="1">
        <v>1322</v>
      </c>
      <c r="S98" s="1" t="s">
        <v>1092</v>
      </c>
      <c r="T98" s="1" t="s">
        <v>1092</v>
      </c>
      <c r="U98" s="1">
        <v>0</v>
      </c>
      <c r="V98" s="1">
        <v>0</v>
      </c>
      <c r="W98" s="1">
        <v>0</v>
      </c>
      <c r="X98" s="4" t="b">
        <v>1</v>
      </c>
    </row>
    <row r="99" spans="1:24" ht="17" customHeight="1" x14ac:dyDescent="0.2">
      <c r="A99" s="1" t="s">
        <v>1092</v>
      </c>
      <c r="B99" s="1" t="s">
        <v>1092</v>
      </c>
      <c r="C99" s="1" t="s">
        <v>37</v>
      </c>
      <c r="D99" s="1">
        <v>429</v>
      </c>
      <c r="E99" s="1">
        <v>437</v>
      </c>
      <c r="F99" s="1" t="s">
        <v>1093</v>
      </c>
      <c r="G99" s="1" t="s">
        <v>1094</v>
      </c>
      <c r="H99" s="1" t="s">
        <v>31</v>
      </c>
      <c r="I99" s="1" t="s">
        <v>22</v>
      </c>
      <c r="J99" s="1" t="s">
        <v>1840</v>
      </c>
      <c r="K99" s="1">
        <v>2074</v>
      </c>
      <c r="L99" s="1">
        <v>2100</v>
      </c>
      <c r="M99" s="1" t="s">
        <v>1095</v>
      </c>
      <c r="N99" s="1" t="e">
        <v>#N/A</v>
      </c>
      <c r="O99" s="1" t="s">
        <v>1096</v>
      </c>
      <c r="P99" s="1" t="s">
        <v>1095</v>
      </c>
      <c r="Q99" s="1">
        <v>1296</v>
      </c>
      <c r="R99" s="1">
        <v>1322</v>
      </c>
      <c r="S99" s="1" t="s">
        <v>1092</v>
      </c>
      <c r="T99" s="1" t="s">
        <v>1092</v>
      </c>
      <c r="U99" s="1">
        <v>0</v>
      </c>
      <c r="V99" s="1">
        <v>0</v>
      </c>
      <c r="W99" s="1">
        <v>0</v>
      </c>
      <c r="X99" s="4" t="b">
        <v>1</v>
      </c>
    </row>
    <row r="100" spans="1:24" ht="17" customHeight="1" x14ac:dyDescent="0.2">
      <c r="A100" s="1" t="s">
        <v>276</v>
      </c>
      <c r="B100" s="1" t="s">
        <v>276</v>
      </c>
      <c r="C100" s="1" t="s">
        <v>37</v>
      </c>
      <c r="D100" s="1">
        <v>433</v>
      </c>
      <c r="E100" s="1">
        <v>442</v>
      </c>
      <c r="F100" s="1" t="s">
        <v>277</v>
      </c>
      <c r="G100" s="1" t="s">
        <v>278</v>
      </c>
      <c r="I100" s="1" t="s">
        <v>22</v>
      </c>
      <c r="J100" s="1" t="s">
        <v>94</v>
      </c>
      <c r="K100" s="1">
        <v>2086</v>
      </c>
      <c r="L100" s="1">
        <v>2115</v>
      </c>
      <c r="M100" s="1" t="s">
        <v>279</v>
      </c>
      <c r="N100" s="1" t="s">
        <v>280</v>
      </c>
      <c r="O100" s="1" t="s">
        <v>281</v>
      </c>
      <c r="P100" s="1" t="s">
        <v>279</v>
      </c>
      <c r="Q100" s="1">
        <v>1308</v>
      </c>
      <c r="R100" s="1">
        <v>1337</v>
      </c>
      <c r="S100" s="1" t="s">
        <v>282</v>
      </c>
      <c r="T100" s="1" t="s">
        <v>276</v>
      </c>
      <c r="U100" s="1">
        <v>1</v>
      </c>
      <c r="V100" s="1">
        <v>0</v>
      </c>
      <c r="W100" s="1">
        <v>1</v>
      </c>
      <c r="X100" s="4" t="b">
        <v>1</v>
      </c>
    </row>
    <row r="101" spans="1:24" ht="17" customHeight="1" x14ac:dyDescent="0.2">
      <c r="A101" s="1" t="s">
        <v>891</v>
      </c>
      <c r="B101" s="1" t="s">
        <v>891</v>
      </c>
      <c r="C101" s="1" t="s">
        <v>84</v>
      </c>
      <c r="D101" s="1">
        <v>24</v>
      </c>
      <c r="E101" s="1">
        <v>31</v>
      </c>
      <c r="F101" s="1" t="s">
        <v>892</v>
      </c>
      <c r="G101" s="1" t="s">
        <v>893</v>
      </c>
      <c r="I101" s="1" t="s">
        <v>22</v>
      </c>
      <c r="J101" s="1" t="s">
        <v>894</v>
      </c>
      <c r="K101" s="1">
        <v>2154</v>
      </c>
      <c r="L101" s="1">
        <v>2177</v>
      </c>
      <c r="M101" s="1" t="s">
        <v>895</v>
      </c>
      <c r="N101" s="1" t="s">
        <v>896</v>
      </c>
      <c r="O101" s="1" t="s">
        <v>26</v>
      </c>
      <c r="P101" s="1" t="s">
        <v>895</v>
      </c>
      <c r="Q101" s="1">
        <v>1376</v>
      </c>
      <c r="R101" s="1">
        <v>1399</v>
      </c>
      <c r="S101" s="1" t="s">
        <v>891</v>
      </c>
      <c r="T101" s="1" t="s">
        <v>891</v>
      </c>
      <c r="U101" s="1">
        <v>0</v>
      </c>
      <c r="V101" s="1">
        <v>0</v>
      </c>
      <c r="W101" s="1">
        <v>0</v>
      </c>
      <c r="X101" s="4" t="b">
        <v>1</v>
      </c>
    </row>
    <row r="102" spans="1:24" ht="17" customHeight="1" x14ac:dyDescent="0.2">
      <c r="A102" s="1" t="s">
        <v>690</v>
      </c>
      <c r="B102" s="1" t="s">
        <v>690</v>
      </c>
      <c r="C102" s="1" t="s">
        <v>37</v>
      </c>
      <c r="D102" s="1">
        <v>481</v>
      </c>
      <c r="E102" s="1">
        <v>489</v>
      </c>
      <c r="F102" s="1" t="s">
        <v>691</v>
      </c>
      <c r="G102" s="1" t="s">
        <v>692</v>
      </c>
      <c r="I102" s="1" t="s">
        <v>22</v>
      </c>
      <c r="J102" s="1" t="s">
        <v>516</v>
      </c>
      <c r="K102" s="1">
        <v>2230</v>
      </c>
      <c r="L102" s="1">
        <v>2256</v>
      </c>
      <c r="M102" s="1" t="s">
        <v>693</v>
      </c>
      <c r="N102" s="1" t="s">
        <v>693</v>
      </c>
      <c r="O102" s="1" t="s">
        <v>694</v>
      </c>
      <c r="P102" s="1" t="s">
        <v>693</v>
      </c>
      <c r="Q102" s="1">
        <v>1452</v>
      </c>
      <c r="R102" s="1">
        <v>1478</v>
      </c>
      <c r="S102" s="1" t="s">
        <v>695</v>
      </c>
      <c r="T102" s="1" t="s">
        <v>690</v>
      </c>
      <c r="U102" s="1">
        <v>1</v>
      </c>
      <c r="V102" s="1">
        <v>0</v>
      </c>
      <c r="W102" s="1">
        <v>1</v>
      </c>
      <c r="X102" s="4" t="b">
        <v>1</v>
      </c>
    </row>
    <row r="103" spans="1:24" ht="17" customHeight="1" x14ac:dyDescent="0.2">
      <c r="A103" s="1" t="s">
        <v>606</v>
      </c>
      <c r="B103" s="1" t="s">
        <v>606</v>
      </c>
      <c r="C103" s="1" t="s">
        <v>84</v>
      </c>
      <c r="D103" s="1">
        <v>59</v>
      </c>
      <c r="E103" s="1">
        <v>67</v>
      </c>
      <c r="F103" s="1" t="s">
        <v>607</v>
      </c>
      <c r="G103" s="1" t="s">
        <v>608</v>
      </c>
      <c r="H103" s="1" t="s">
        <v>609</v>
      </c>
      <c r="I103" s="1" t="s">
        <v>22</v>
      </c>
      <c r="J103" s="1" t="s">
        <v>610</v>
      </c>
      <c r="K103" s="1">
        <v>2259</v>
      </c>
      <c r="L103" s="1">
        <v>2285</v>
      </c>
      <c r="M103" s="1" t="s">
        <v>611</v>
      </c>
      <c r="N103" s="1" t="e">
        <v>#N/A</v>
      </c>
      <c r="O103" s="1" t="s">
        <v>612</v>
      </c>
      <c r="P103" s="1" t="s">
        <v>611</v>
      </c>
      <c r="Q103" s="1">
        <v>1481</v>
      </c>
      <c r="R103" s="1">
        <v>1507</v>
      </c>
      <c r="S103" s="1" t="s">
        <v>606</v>
      </c>
      <c r="T103" s="1" t="s">
        <v>613</v>
      </c>
      <c r="U103" s="1">
        <v>0</v>
      </c>
      <c r="V103" s="1">
        <v>1</v>
      </c>
      <c r="W103" s="1">
        <v>1</v>
      </c>
      <c r="X103" s="4" t="b">
        <v>0</v>
      </c>
    </row>
    <row r="104" spans="1:24" ht="17" customHeight="1" x14ac:dyDescent="0.2">
      <c r="A104" s="1" t="s">
        <v>606</v>
      </c>
      <c r="B104" s="1" t="s">
        <v>606</v>
      </c>
      <c r="C104" s="1" t="s">
        <v>84</v>
      </c>
      <c r="D104" s="1">
        <v>59</v>
      </c>
      <c r="E104" s="1">
        <v>67</v>
      </c>
      <c r="G104" s="1" t="s">
        <v>608</v>
      </c>
      <c r="H104" s="1" t="s">
        <v>609</v>
      </c>
      <c r="I104" s="1" t="s">
        <v>22</v>
      </c>
      <c r="J104" s="1" t="s">
        <v>1883</v>
      </c>
      <c r="K104" s="1">
        <v>2259</v>
      </c>
      <c r="L104" s="1">
        <v>2285</v>
      </c>
      <c r="M104" s="1" t="s">
        <v>1561</v>
      </c>
      <c r="N104" s="1" t="s">
        <v>1561</v>
      </c>
      <c r="O104" s="1" t="s">
        <v>1721</v>
      </c>
      <c r="P104" s="1" t="s">
        <v>1722</v>
      </c>
      <c r="Q104" s="1">
        <v>1481</v>
      </c>
      <c r="R104" s="1">
        <v>1507</v>
      </c>
      <c r="S104" s="1" t="s">
        <v>606</v>
      </c>
      <c r="T104" s="1" t="s">
        <v>613</v>
      </c>
      <c r="U104" s="1">
        <v>0</v>
      </c>
      <c r="V104" s="1">
        <v>1</v>
      </c>
      <c r="W104" s="1">
        <v>1</v>
      </c>
      <c r="X104" s="4" t="b">
        <v>0</v>
      </c>
    </row>
    <row r="105" spans="1:24" ht="17" customHeight="1" x14ac:dyDescent="0.2">
      <c r="A105" s="1" t="s">
        <v>1439</v>
      </c>
      <c r="B105" s="1" t="s">
        <v>1440</v>
      </c>
      <c r="C105" s="1" t="s">
        <v>84</v>
      </c>
      <c r="D105" s="1">
        <v>62</v>
      </c>
      <c r="E105" s="1">
        <v>71</v>
      </c>
      <c r="F105" s="1" t="s">
        <v>1441</v>
      </c>
      <c r="G105" s="1" t="s">
        <v>1442</v>
      </c>
      <c r="I105" s="1" t="s">
        <v>22</v>
      </c>
      <c r="J105" s="1" t="s">
        <v>1443</v>
      </c>
      <c r="K105" s="1">
        <v>2268</v>
      </c>
      <c r="L105" s="1">
        <v>2295</v>
      </c>
      <c r="M105" s="1" t="s">
        <v>1444</v>
      </c>
      <c r="N105" s="1" t="e">
        <v>#N/A</v>
      </c>
      <c r="O105" s="1" t="s">
        <v>1445</v>
      </c>
      <c r="P105" s="1" t="s">
        <v>1444</v>
      </c>
      <c r="Q105" s="1">
        <v>1490</v>
      </c>
      <c r="R105" s="1">
        <v>1517</v>
      </c>
      <c r="S105" s="1" t="s">
        <v>1446</v>
      </c>
      <c r="T105" s="1" t="s">
        <v>1446</v>
      </c>
      <c r="U105" s="1">
        <v>1</v>
      </c>
      <c r="V105" s="1">
        <v>1</v>
      </c>
      <c r="W105" s="1">
        <v>0</v>
      </c>
      <c r="X105" s="4" t="b">
        <v>0</v>
      </c>
    </row>
    <row r="106" spans="1:24" ht="17" customHeight="1" x14ac:dyDescent="0.2">
      <c r="A106" s="1" t="s">
        <v>1581</v>
      </c>
      <c r="B106" s="1" t="s">
        <v>1581</v>
      </c>
      <c r="C106" s="1" t="s">
        <v>84</v>
      </c>
      <c r="G106" s="1" t="s">
        <v>1582</v>
      </c>
      <c r="I106" s="1" t="s">
        <v>22</v>
      </c>
      <c r="J106" s="1" t="s">
        <v>1857</v>
      </c>
      <c r="K106" s="1">
        <v>2274</v>
      </c>
      <c r="L106" s="1">
        <v>2297</v>
      </c>
      <c r="M106" s="1" t="s">
        <v>1583</v>
      </c>
      <c r="N106" s="1" t="s">
        <v>1583</v>
      </c>
      <c r="O106" s="1" t="s">
        <v>1531</v>
      </c>
      <c r="P106" s="1" t="s">
        <v>1583</v>
      </c>
      <c r="Q106" s="1">
        <v>1496</v>
      </c>
      <c r="R106" s="1">
        <v>1519</v>
      </c>
      <c r="S106" s="1" t="s">
        <v>1581</v>
      </c>
      <c r="T106" s="1" t="s">
        <v>1581</v>
      </c>
      <c r="W106" s="1">
        <v>0</v>
      </c>
      <c r="X106" s="4" t="b">
        <v>1</v>
      </c>
    </row>
    <row r="107" spans="1:24" ht="17" customHeight="1" x14ac:dyDescent="0.2">
      <c r="A107" s="1" t="s">
        <v>162</v>
      </c>
      <c r="B107" s="1" t="s">
        <v>162</v>
      </c>
      <c r="C107" s="1" t="s">
        <v>84</v>
      </c>
      <c r="D107" s="1">
        <v>86</v>
      </c>
      <c r="E107" s="1">
        <v>94</v>
      </c>
      <c r="F107" s="1" t="s">
        <v>163</v>
      </c>
      <c r="G107" s="1" t="s">
        <v>164</v>
      </c>
      <c r="H107" s="1" t="s">
        <v>165</v>
      </c>
      <c r="I107" s="1" t="s">
        <v>22</v>
      </c>
      <c r="J107" s="1" t="s">
        <v>166</v>
      </c>
      <c r="K107" s="1">
        <v>2340</v>
      </c>
      <c r="L107" s="1">
        <v>2366</v>
      </c>
      <c r="M107" s="1" t="s">
        <v>167</v>
      </c>
      <c r="N107" s="1" t="e">
        <v>#N/A</v>
      </c>
      <c r="O107" s="1" t="s">
        <v>168</v>
      </c>
      <c r="P107" s="1" t="s">
        <v>167</v>
      </c>
      <c r="Q107" s="1">
        <v>1562</v>
      </c>
      <c r="R107" s="1">
        <v>1588</v>
      </c>
      <c r="S107" s="1" t="s">
        <v>169</v>
      </c>
      <c r="T107" s="1" t="s">
        <v>170</v>
      </c>
      <c r="U107" s="1">
        <v>1</v>
      </c>
      <c r="V107" s="1">
        <v>2</v>
      </c>
      <c r="W107" s="1">
        <v>1</v>
      </c>
      <c r="X107" s="4" t="b">
        <v>0</v>
      </c>
    </row>
    <row r="108" spans="1:24" ht="17" customHeight="1" x14ac:dyDescent="0.2">
      <c r="A108" s="1" t="s">
        <v>187</v>
      </c>
      <c r="B108" s="1" t="s">
        <v>187</v>
      </c>
      <c r="C108" s="1" t="s">
        <v>84</v>
      </c>
      <c r="D108" s="1">
        <v>90</v>
      </c>
      <c r="E108" s="1">
        <v>98</v>
      </c>
      <c r="F108" s="1" t="s">
        <v>188</v>
      </c>
      <c r="G108" s="1" t="s">
        <v>189</v>
      </c>
      <c r="I108" s="1" t="s">
        <v>22</v>
      </c>
      <c r="J108" s="1" t="s">
        <v>1842</v>
      </c>
      <c r="K108" s="1">
        <v>2352</v>
      </c>
      <c r="L108" s="1">
        <v>2378</v>
      </c>
      <c r="M108" s="1" t="s">
        <v>190</v>
      </c>
      <c r="N108" s="1" t="s">
        <v>190</v>
      </c>
      <c r="O108" s="1" t="s">
        <v>191</v>
      </c>
      <c r="P108" s="1" t="s">
        <v>190</v>
      </c>
      <c r="Q108" s="1">
        <v>1574</v>
      </c>
      <c r="R108" s="1">
        <v>1600</v>
      </c>
      <c r="S108" s="1" t="s">
        <v>187</v>
      </c>
      <c r="T108" s="1" t="s">
        <v>192</v>
      </c>
      <c r="U108" s="1">
        <v>0</v>
      </c>
      <c r="V108" s="1">
        <v>1</v>
      </c>
      <c r="W108" s="1">
        <v>1</v>
      </c>
      <c r="X108" s="4" t="b">
        <v>0</v>
      </c>
    </row>
    <row r="109" spans="1:24" ht="17" customHeight="1" x14ac:dyDescent="0.2">
      <c r="A109" s="1" t="s">
        <v>1116</v>
      </c>
      <c r="B109" s="1" t="s">
        <v>1116</v>
      </c>
      <c r="C109" s="1" t="s">
        <v>84</v>
      </c>
      <c r="D109" s="1">
        <v>113</v>
      </c>
      <c r="E109" s="1">
        <v>122</v>
      </c>
      <c r="F109" s="1" t="s">
        <v>1117</v>
      </c>
      <c r="G109" s="1" t="s">
        <v>1118</v>
      </c>
      <c r="I109" s="1" t="s">
        <v>22</v>
      </c>
      <c r="J109" s="1" t="s">
        <v>1826</v>
      </c>
      <c r="K109" s="1">
        <v>2421</v>
      </c>
      <c r="L109" s="1">
        <v>2450</v>
      </c>
      <c r="M109" s="1" t="s">
        <v>1119</v>
      </c>
      <c r="N109" s="1" t="s">
        <v>1119</v>
      </c>
      <c r="O109" s="1" t="s">
        <v>1120</v>
      </c>
      <c r="P109" s="1" t="s">
        <v>1119</v>
      </c>
      <c r="Q109" s="1">
        <v>1643</v>
      </c>
      <c r="R109" s="1">
        <v>1672</v>
      </c>
      <c r="S109" s="1" t="s">
        <v>1116</v>
      </c>
      <c r="T109" s="1" t="s">
        <v>1116</v>
      </c>
      <c r="U109" s="1">
        <v>0</v>
      </c>
      <c r="V109" s="1">
        <v>0</v>
      </c>
      <c r="W109" s="1">
        <v>0</v>
      </c>
      <c r="X109" s="4" t="b">
        <v>1</v>
      </c>
    </row>
    <row r="110" spans="1:24" ht="17" customHeight="1" x14ac:dyDescent="0.2">
      <c r="A110" s="1" t="s">
        <v>384</v>
      </c>
      <c r="B110" s="1" t="s">
        <v>384</v>
      </c>
      <c r="C110" s="1" t="s">
        <v>84</v>
      </c>
      <c r="D110" s="1">
        <v>124</v>
      </c>
      <c r="E110" s="1">
        <v>132</v>
      </c>
      <c r="F110" s="1" t="s">
        <v>385</v>
      </c>
      <c r="G110" s="1" t="s">
        <v>386</v>
      </c>
      <c r="I110" s="1" t="s">
        <v>22</v>
      </c>
      <c r="J110" s="1" t="s">
        <v>1888</v>
      </c>
      <c r="K110" s="1">
        <v>2454</v>
      </c>
      <c r="L110" s="1">
        <v>2480</v>
      </c>
      <c r="M110" s="1" t="s">
        <v>387</v>
      </c>
      <c r="N110" s="1" t="s">
        <v>387</v>
      </c>
      <c r="O110" s="1" t="s">
        <v>388</v>
      </c>
      <c r="P110" s="1" t="s">
        <v>387</v>
      </c>
      <c r="Q110" s="1">
        <v>1676</v>
      </c>
      <c r="R110" s="1">
        <v>1702</v>
      </c>
      <c r="S110" s="1" t="s">
        <v>389</v>
      </c>
      <c r="T110" s="1" t="s">
        <v>389</v>
      </c>
      <c r="U110" s="1">
        <v>1</v>
      </c>
      <c r="V110" s="1">
        <v>1</v>
      </c>
      <c r="W110" s="1">
        <v>0</v>
      </c>
      <c r="X110" s="4" t="b">
        <v>0</v>
      </c>
    </row>
    <row r="111" spans="1:24" ht="17" customHeight="1" x14ac:dyDescent="0.2">
      <c r="A111" s="1" t="s">
        <v>667</v>
      </c>
      <c r="B111" s="1" t="s">
        <v>667</v>
      </c>
      <c r="C111" s="1" t="s">
        <v>84</v>
      </c>
      <c r="D111" s="1">
        <v>126</v>
      </c>
      <c r="E111" s="1">
        <v>133</v>
      </c>
      <c r="F111" s="1" t="s">
        <v>668</v>
      </c>
      <c r="G111" s="1" t="s">
        <v>669</v>
      </c>
      <c r="I111" s="1" t="s">
        <v>22</v>
      </c>
      <c r="J111" s="1" t="s">
        <v>1830</v>
      </c>
      <c r="K111" s="1">
        <v>2460</v>
      </c>
      <c r="L111" s="1">
        <v>2483</v>
      </c>
      <c r="M111" s="1" t="s">
        <v>670</v>
      </c>
      <c r="N111" s="1" t="s">
        <v>670</v>
      </c>
      <c r="O111" s="1" t="s">
        <v>671</v>
      </c>
      <c r="P111" s="1" t="s">
        <v>670</v>
      </c>
      <c r="Q111" s="1">
        <v>1682</v>
      </c>
      <c r="R111" s="1">
        <v>1705</v>
      </c>
      <c r="S111" s="1" t="s">
        <v>667</v>
      </c>
      <c r="T111" s="1" t="s">
        <v>667</v>
      </c>
      <c r="U111" s="1">
        <v>0</v>
      </c>
      <c r="V111" s="1">
        <v>0</v>
      </c>
      <c r="W111" s="1">
        <v>0</v>
      </c>
      <c r="X111" s="4" t="b">
        <v>1</v>
      </c>
    </row>
    <row r="112" spans="1:24" ht="17" customHeight="1" x14ac:dyDescent="0.2">
      <c r="A112" s="1" t="s">
        <v>846</v>
      </c>
      <c r="B112" s="1" t="s">
        <v>846</v>
      </c>
      <c r="C112" s="1" t="s">
        <v>84</v>
      </c>
      <c r="D112" s="1">
        <v>132</v>
      </c>
      <c r="E112" s="1">
        <v>140</v>
      </c>
      <c r="F112" s="1" t="s">
        <v>847</v>
      </c>
      <c r="G112" s="1" t="s">
        <v>848</v>
      </c>
      <c r="I112" s="1" t="s">
        <v>22</v>
      </c>
      <c r="J112" s="1" t="s">
        <v>94</v>
      </c>
      <c r="K112" s="1">
        <v>2478</v>
      </c>
      <c r="L112" s="1">
        <v>2504</v>
      </c>
      <c r="M112" s="1" t="s">
        <v>849</v>
      </c>
      <c r="N112" s="1" t="s">
        <v>850</v>
      </c>
      <c r="O112" s="1" t="s">
        <v>851</v>
      </c>
      <c r="P112" s="1" t="s">
        <v>849</v>
      </c>
      <c r="Q112" s="1">
        <v>1700</v>
      </c>
      <c r="R112" s="1">
        <v>1726</v>
      </c>
      <c r="S112" s="1" t="s">
        <v>846</v>
      </c>
      <c r="T112" s="1" t="s">
        <v>846</v>
      </c>
      <c r="U112" s="1">
        <v>0</v>
      </c>
      <c r="V112" s="1">
        <v>0</v>
      </c>
      <c r="W112" s="1">
        <v>0</v>
      </c>
      <c r="X112" s="4" t="b">
        <v>1</v>
      </c>
    </row>
    <row r="113" spans="1:24" ht="17" customHeight="1" x14ac:dyDescent="0.2">
      <c r="A113" s="1" t="s">
        <v>1287</v>
      </c>
      <c r="B113" s="1" t="s">
        <v>1287</v>
      </c>
      <c r="C113" s="1" t="s">
        <v>84</v>
      </c>
      <c r="D113" s="1">
        <v>136</v>
      </c>
      <c r="E113" s="1">
        <v>146</v>
      </c>
      <c r="F113" s="1" t="s">
        <v>1288</v>
      </c>
      <c r="G113" s="1" t="s">
        <v>1289</v>
      </c>
      <c r="I113" s="1" t="s">
        <v>22</v>
      </c>
      <c r="J113" s="1" t="s">
        <v>1843</v>
      </c>
      <c r="K113" s="1">
        <v>2490</v>
      </c>
      <c r="L113" s="1">
        <v>2522</v>
      </c>
      <c r="M113" s="1" t="s">
        <v>1290</v>
      </c>
      <c r="N113" s="1" t="s">
        <v>1290</v>
      </c>
      <c r="O113" s="1" t="s">
        <v>26</v>
      </c>
      <c r="P113" s="1" t="s">
        <v>1290</v>
      </c>
      <c r="Q113" s="1">
        <v>1712</v>
      </c>
      <c r="R113" s="1">
        <v>1744</v>
      </c>
      <c r="S113" s="1" t="s">
        <v>1291</v>
      </c>
      <c r="T113" s="1" t="s">
        <v>1291</v>
      </c>
      <c r="U113" s="1">
        <v>1</v>
      </c>
      <c r="V113" s="1">
        <v>1</v>
      </c>
      <c r="W113" s="1">
        <v>0</v>
      </c>
      <c r="X113" s="4" t="b">
        <v>0</v>
      </c>
    </row>
    <row r="114" spans="1:24" ht="17" customHeight="1" x14ac:dyDescent="0.2">
      <c r="A114" s="1" t="s">
        <v>293</v>
      </c>
      <c r="B114" s="1" t="s">
        <v>293</v>
      </c>
      <c r="C114" s="1" t="s">
        <v>84</v>
      </c>
      <c r="D114" s="1">
        <v>155</v>
      </c>
      <c r="E114" s="1">
        <v>163</v>
      </c>
      <c r="F114" s="1" t="s">
        <v>294</v>
      </c>
      <c r="G114" s="1" t="s">
        <v>295</v>
      </c>
      <c r="H114" s="1" t="s">
        <v>31</v>
      </c>
      <c r="I114" s="1" t="s">
        <v>22</v>
      </c>
      <c r="J114" s="1" t="s">
        <v>289</v>
      </c>
      <c r="K114" s="1">
        <v>2547</v>
      </c>
      <c r="L114" s="1">
        <v>2573</v>
      </c>
      <c r="M114" s="1" t="s">
        <v>296</v>
      </c>
      <c r="N114" s="1" t="e">
        <v>#N/A</v>
      </c>
      <c r="O114" s="1" t="s">
        <v>297</v>
      </c>
      <c r="P114" s="1" t="s">
        <v>296</v>
      </c>
      <c r="Q114" s="1">
        <v>1769</v>
      </c>
      <c r="R114" s="1">
        <v>1795</v>
      </c>
      <c r="S114" s="1" t="s">
        <v>293</v>
      </c>
      <c r="T114" s="1" t="s">
        <v>293</v>
      </c>
      <c r="U114" s="1">
        <v>0</v>
      </c>
      <c r="V114" s="1">
        <v>0</v>
      </c>
      <c r="W114" s="1">
        <v>0</v>
      </c>
      <c r="X114" s="4" t="b">
        <v>1</v>
      </c>
    </row>
    <row r="115" spans="1:24" ht="17" customHeight="1" x14ac:dyDescent="0.2">
      <c r="A115" s="1" t="s">
        <v>523</v>
      </c>
      <c r="B115" s="1" t="s">
        <v>523</v>
      </c>
      <c r="C115" s="1" t="s">
        <v>84</v>
      </c>
      <c r="D115" s="1">
        <v>160</v>
      </c>
      <c r="E115" s="1">
        <v>167</v>
      </c>
      <c r="F115" s="1" t="s">
        <v>524</v>
      </c>
      <c r="G115" s="1" t="s">
        <v>525</v>
      </c>
      <c r="I115" s="1" t="s">
        <v>22</v>
      </c>
      <c r="J115" s="1" t="s">
        <v>516</v>
      </c>
      <c r="K115" s="1">
        <v>2562</v>
      </c>
      <c r="L115" s="1">
        <v>2585</v>
      </c>
      <c r="M115" s="1" t="s">
        <v>526</v>
      </c>
      <c r="N115" s="1" t="s">
        <v>526</v>
      </c>
      <c r="O115" s="1" t="s">
        <v>26</v>
      </c>
      <c r="P115" s="1" t="s">
        <v>526</v>
      </c>
      <c r="Q115" s="1">
        <v>1784</v>
      </c>
      <c r="R115" s="1">
        <v>1807</v>
      </c>
      <c r="S115" s="1" t="s">
        <v>523</v>
      </c>
      <c r="T115" s="1" t="s">
        <v>523</v>
      </c>
      <c r="U115" s="1">
        <v>0</v>
      </c>
      <c r="V115" s="1">
        <v>0</v>
      </c>
      <c r="W115" s="1">
        <v>0</v>
      </c>
      <c r="X115" s="4" t="b">
        <v>1</v>
      </c>
    </row>
    <row r="116" spans="1:24" ht="17" customHeight="1" x14ac:dyDescent="0.2">
      <c r="A116" s="1" t="s">
        <v>401</v>
      </c>
      <c r="B116" s="1" t="s">
        <v>401</v>
      </c>
      <c r="C116" s="1" t="s">
        <v>84</v>
      </c>
      <c r="D116" s="1">
        <v>173</v>
      </c>
      <c r="E116" s="1">
        <v>181</v>
      </c>
      <c r="F116" s="1" t="s">
        <v>402</v>
      </c>
      <c r="G116" s="1" t="s">
        <v>403</v>
      </c>
      <c r="H116" s="1" t="s">
        <v>31</v>
      </c>
      <c r="I116" s="1" t="s">
        <v>22</v>
      </c>
      <c r="J116" s="1" t="s">
        <v>145</v>
      </c>
      <c r="K116" s="1">
        <v>2601</v>
      </c>
      <c r="L116" s="1">
        <v>2627</v>
      </c>
      <c r="M116" s="1" t="s">
        <v>404</v>
      </c>
      <c r="N116" s="1" t="s">
        <v>405</v>
      </c>
      <c r="O116" s="1" t="s">
        <v>406</v>
      </c>
      <c r="P116" s="1" t="s">
        <v>404</v>
      </c>
      <c r="Q116" s="1">
        <v>1823</v>
      </c>
      <c r="R116" s="1">
        <v>1849</v>
      </c>
      <c r="S116" s="1" t="s">
        <v>401</v>
      </c>
      <c r="T116" s="1" t="s">
        <v>401</v>
      </c>
      <c r="U116" s="1">
        <v>0</v>
      </c>
      <c r="V116" s="1">
        <v>0</v>
      </c>
      <c r="W116" s="1">
        <v>0</v>
      </c>
      <c r="X116" s="4" t="b">
        <v>1</v>
      </c>
    </row>
    <row r="117" spans="1:24" ht="17" customHeight="1" x14ac:dyDescent="0.2">
      <c r="A117" s="1" t="s">
        <v>98</v>
      </c>
      <c r="B117" s="1" t="s">
        <v>98</v>
      </c>
      <c r="C117" s="1" t="s">
        <v>84</v>
      </c>
      <c r="D117" s="1">
        <v>188</v>
      </c>
      <c r="E117" s="1">
        <v>196</v>
      </c>
      <c r="F117" s="1" t="s">
        <v>99</v>
      </c>
      <c r="G117" s="1" t="s">
        <v>100</v>
      </c>
      <c r="H117" s="1" t="s">
        <v>31</v>
      </c>
      <c r="I117" s="1" t="s">
        <v>22</v>
      </c>
      <c r="J117" s="1" t="s">
        <v>94</v>
      </c>
      <c r="K117" s="1">
        <v>2646</v>
      </c>
      <c r="L117" s="1">
        <v>2672</v>
      </c>
      <c r="M117" s="1" t="s">
        <v>101</v>
      </c>
      <c r="N117" s="1" t="s">
        <v>102</v>
      </c>
      <c r="O117" s="1" t="s">
        <v>103</v>
      </c>
      <c r="P117" s="1" t="s">
        <v>101</v>
      </c>
      <c r="Q117" s="1">
        <v>1868</v>
      </c>
      <c r="R117" s="1">
        <v>1894</v>
      </c>
      <c r="S117" s="1" t="s">
        <v>98</v>
      </c>
      <c r="T117" s="1" t="s">
        <v>98</v>
      </c>
      <c r="U117" s="1">
        <v>0</v>
      </c>
      <c r="V117" s="1">
        <v>0</v>
      </c>
      <c r="W117" s="1">
        <v>0</v>
      </c>
      <c r="X117" s="4" t="b">
        <v>1</v>
      </c>
    </row>
    <row r="118" spans="1:24" ht="17" customHeight="1" x14ac:dyDescent="0.2">
      <c r="A118" s="1" t="s">
        <v>104</v>
      </c>
      <c r="B118" s="1" t="s">
        <v>104</v>
      </c>
      <c r="C118" s="1" t="s">
        <v>84</v>
      </c>
      <c r="D118" s="1">
        <v>188</v>
      </c>
      <c r="E118" s="1">
        <v>198</v>
      </c>
      <c r="F118" s="1" t="s">
        <v>105</v>
      </c>
      <c r="G118" s="1" t="s">
        <v>106</v>
      </c>
      <c r="I118" s="1" t="s">
        <v>22</v>
      </c>
      <c r="J118" s="1" t="s">
        <v>87</v>
      </c>
      <c r="K118" s="1">
        <v>2646</v>
      </c>
      <c r="L118" s="1">
        <v>2678</v>
      </c>
      <c r="M118" s="1" t="s">
        <v>108</v>
      </c>
      <c r="N118" s="1" t="s">
        <v>109</v>
      </c>
      <c r="O118" s="1" t="s">
        <v>110</v>
      </c>
      <c r="P118" s="1" t="s">
        <v>108</v>
      </c>
      <c r="Q118" s="1">
        <v>1868</v>
      </c>
      <c r="R118" s="1">
        <v>1900</v>
      </c>
      <c r="S118" s="1" t="s">
        <v>104</v>
      </c>
      <c r="T118" s="1" t="s">
        <v>104</v>
      </c>
      <c r="U118" s="1">
        <v>0</v>
      </c>
      <c r="V118" s="1">
        <v>0</v>
      </c>
      <c r="W118" s="1">
        <v>0</v>
      </c>
      <c r="X118" s="4" t="b">
        <v>1</v>
      </c>
    </row>
    <row r="119" spans="1:24" ht="17" customHeight="1" x14ac:dyDescent="0.2">
      <c r="A119" s="1" t="s">
        <v>1576</v>
      </c>
      <c r="B119" s="1" t="s">
        <v>1576</v>
      </c>
      <c r="C119" s="1" t="s">
        <v>84</v>
      </c>
      <c r="G119" s="1" t="s">
        <v>1577</v>
      </c>
      <c r="I119" s="1" t="s">
        <v>22</v>
      </c>
      <c r="J119" s="1" t="s">
        <v>1841</v>
      </c>
      <c r="K119" s="1">
        <v>2673</v>
      </c>
      <c r="L119" s="1">
        <v>2699</v>
      </c>
      <c r="M119" s="1" t="s">
        <v>1578</v>
      </c>
      <c r="N119" s="1" t="s">
        <v>1578</v>
      </c>
      <c r="O119" s="1" t="s">
        <v>1531</v>
      </c>
      <c r="P119" s="1" t="s">
        <v>1578</v>
      </c>
      <c r="Q119" s="1">
        <v>1895</v>
      </c>
      <c r="R119" s="1">
        <v>1921</v>
      </c>
      <c r="S119" s="1" t="s">
        <v>1576</v>
      </c>
      <c r="T119" s="1" t="s">
        <v>1576</v>
      </c>
      <c r="W119" s="1">
        <v>0</v>
      </c>
      <c r="X119" s="4" t="b">
        <v>1</v>
      </c>
    </row>
    <row r="120" spans="1:24" ht="17" customHeight="1" x14ac:dyDescent="0.2">
      <c r="A120" s="1" t="s">
        <v>726</v>
      </c>
      <c r="B120" s="1" t="s">
        <v>726</v>
      </c>
      <c r="C120" s="1" t="s">
        <v>84</v>
      </c>
      <c r="D120" s="1">
        <v>228</v>
      </c>
      <c r="E120" s="1">
        <v>237</v>
      </c>
      <c r="F120" s="1" t="s">
        <v>727</v>
      </c>
      <c r="G120" s="1" t="s">
        <v>728</v>
      </c>
      <c r="I120" s="1" t="s">
        <v>22</v>
      </c>
      <c r="J120" s="1" t="s">
        <v>107</v>
      </c>
      <c r="K120" s="1">
        <v>2766</v>
      </c>
      <c r="L120" s="1">
        <v>2795</v>
      </c>
      <c r="M120" s="1" t="s">
        <v>729</v>
      </c>
      <c r="N120" s="1" t="s">
        <v>730</v>
      </c>
      <c r="O120" s="1" t="s">
        <v>731</v>
      </c>
      <c r="P120" s="1" t="s">
        <v>729</v>
      </c>
      <c r="Q120" s="1">
        <v>1988</v>
      </c>
      <c r="R120" s="1">
        <v>2017</v>
      </c>
      <c r="S120" s="1" t="s">
        <v>726</v>
      </c>
      <c r="T120" s="1" t="s">
        <v>726</v>
      </c>
      <c r="U120" s="1">
        <v>0</v>
      </c>
      <c r="V120" s="1">
        <v>0</v>
      </c>
      <c r="W120" s="1">
        <v>0</v>
      </c>
      <c r="X120" s="4" t="b">
        <v>1</v>
      </c>
    </row>
    <row r="121" spans="1:24" ht="17" customHeight="1" x14ac:dyDescent="0.2">
      <c r="A121" s="1" t="s">
        <v>378</v>
      </c>
      <c r="B121" s="1" t="s">
        <v>378</v>
      </c>
      <c r="C121" s="1" t="s">
        <v>84</v>
      </c>
      <c r="D121" s="1">
        <v>248</v>
      </c>
      <c r="E121" s="1">
        <v>256</v>
      </c>
      <c r="F121" s="1" t="s">
        <v>379</v>
      </c>
      <c r="G121" s="1" t="s">
        <v>380</v>
      </c>
      <c r="H121" s="1" t="s">
        <v>31</v>
      </c>
      <c r="I121" s="1" t="s">
        <v>22</v>
      </c>
      <c r="J121" s="1" t="s">
        <v>1849</v>
      </c>
      <c r="K121" s="1">
        <v>2826</v>
      </c>
      <c r="L121" s="1">
        <v>2852</v>
      </c>
      <c r="M121" s="1" t="s">
        <v>381</v>
      </c>
      <c r="N121" s="1" t="s">
        <v>382</v>
      </c>
      <c r="O121" s="1" t="s">
        <v>383</v>
      </c>
      <c r="P121" s="1" t="s">
        <v>381</v>
      </c>
      <c r="Q121" s="1">
        <v>2048</v>
      </c>
      <c r="R121" s="1">
        <v>2074</v>
      </c>
      <c r="S121" s="1" t="s">
        <v>378</v>
      </c>
      <c r="T121" s="1" t="s">
        <v>378</v>
      </c>
      <c r="U121" s="1">
        <v>0</v>
      </c>
      <c r="V121" s="1">
        <v>0</v>
      </c>
      <c r="W121" s="1">
        <v>0</v>
      </c>
      <c r="X121" s="4" t="b">
        <v>1</v>
      </c>
    </row>
    <row r="122" spans="1:24" ht="17" customHeight="1" x14ac:dyDescent="0.2">
      <c r="A122" s="1" t="s">
        <v>1305</v>
      </c>
      <c r="B122" s="1" t="s">
        <v>1305</v>
      </c>
      <c r="C122" s="1" t="s">
        <v>84</v>
      </c>
      <c r="D122" s="1">
        <v>262</v>
      </c>
      <c r="E122" s="1">
        <v>270</v>
      </c>
      <c r="F122" s="1" t="s">
        <v>1306</v>
      </c>
      <c r="G122" s="1" t="s">
        <v>1307</v>
      </c>
      <c r="I122" s="1" t="s">
        <v>22</v>
      </c>
      <c r="J122" s="1" t="s">
        <v>1802</v>
      </c>
      <c r="K122" s="1">
        <v>2868</v>
      </c>
      <c r="L122" s="1">
        <v>2894</v>
      </c>
      <c r="M122" s="1" t="s">
        <v>1308</v>
      </c>
      <c r="N122" s="1" t="s">
        <v>1309</v>
      </c>
      <c r="O122" s="1" t="s">
        <v>1310</v>
      </c>
      <c r="P122" s="1" t="s">
        <v>1308</v>
      </c>
      <c r="Q122" s="1">
        <v>2090</v>
      </c>
      <c r="R122" s="1">
        <v>2116</v>
      </c>
      <c r="S122" s="1" t="s">
        <v>1305</v>
      </c>
      <c r="T122" s="1" t="s">
        <v>1305</v>
      </c>
      <c r="U122" s="1">
        <v>0</v>
      </c>
      <c r="V122" s="1">
        <v>0</v>
      </c>
      <c r="W122" s="1">
        <v>0</v>
      </c>
      <c r="X122" s="4" t="b">
        <v>1</v>
      </c>
    </row>
    <row r="123" spans="1:24" ht="17" customHeight="1" x14ac:dyDescent="0.2">
      <c r="A123" s="2" t="s">
        <v>1791</v>
      </c>
      <c r="B123" s="2" t="s">
        <v>1791</v>
      </c>
      <c r="C123" s="1" t="s">
        <v>84</v>
      </c>
      <c r="D123" s="2">
        <v>272</v>
      </c>
      <c r="E123" s="2">
        <v>281</v>
      </c>
      <c r="F123" s="3" t="s">
        <v>1777</v>
      </c>
      <c r="G123" s="1" t="s">
        <v>1625</v>
      </c>
      <c r="I123" s="1" t="s">
        <v>22</v>
      </c>
      <c r="J123" s="1" t="s">
        <v>40</v>
      </c>
      <c r="K123" s="1">
        <v>2898</v>
      </c>
      <c r="L123" s="1">
        <v>2927</v>
      </c>
      <c r="M123" s="1" t="s">
        <v>1626</v>
      </c>
      <c r="N123" s="1" t="s">
        <v>1626</v>
      </c>
      <c r="O123" s="1" t="s">
        <v>1531</v>
      </c>
      <c r="P123" s="1" t="s">
        <v>1626</v>
      </c>
      <c r="Q123" s="1">
        <v>2120</v>
      </c>
      <c r="R123" s="1">
        <v>2149</v>
      </c>
      <c r="S123" s="2" t="s">
        <v>1791</v>
      </c>
      <c r="T123" s="2" t="s">
        <v>1791</v>
      </c>
      <c r="W123" s="1">
        <v>1</v>
      </c>
      <c r="X123" s="4" t="b">
        <v>1</v>
      </c>
    </row>
    <row r="124" spans="1:24" ht="17" customHeight="1" x14ac:dyDescent="0.2">
      <c r="A124" s="1" t="s">
        <v>1360</v>
      </c>
      <c r="B124" s="1" t="s">
        <v>1360</v>
      </c>
      <c r="C124" s="1" t="s">
        <v>84</v>
      </c>
      <c r="D124" s="1">
        <v>273</v>
      </c>
      <c r="E124" s="1">
        <v>282</v>
      </c>
      <c r="F124" s="1" t="s">
        <v>1361</v>
      </c>
      <c r="G124" s="1" t="s">
        <v>1362</v>
      </c>
      <c r="I124" s="1" t="s">
        <v>22</v>
      </c>
      <c r="J124" s="1" t="s">
        <v>152</v>
      </c>
      <c r="K124" s="1">
        <v>2901</v>
      </c>
      <c r="L124" s="1">
        <v>2930</v>
      </c>
      <c r="M124" s="1" t="s">
        <v>1363</v>
      </c>
      <c r="N124" s="1" t="s">
        <v>1364</v>
      </c>
      <c r="O124" s="1" t="s">
        <v>1365</v>
      </c>
      <c r="P124" s="1" t="s">
        <v>1363</v>
      </c>
      <c r="Q124" s="1">
        <v>2123</v>
      </c>
      <c r="R124" s="1">
        <v>2152</v>
      </c>
      <c r="S124" s="1" t="s">
        <v>1366</v>
      </c>
      <c r="T124" s="1" t="s">
        <v>1360</v>
      </c>
      <c r="U124" s="1">
        <v>1</v>
      </c>
      <c r="V124" s="1">
        <v>0</v>
      </c>
      <c r="W124" s="1">
        <v>1</v>
      </c>
      <c r="X124" s="4" t="b">
        <v>1</v>
      </c>
    </row>
    <row r="125" spans="1:24" ht="17" customHeight="1" x14ac:dyDescent="0.2">
      <c r="A125" s="1" t="s">
        <v>1506</v>
      </c>
      <c r="B125" s="1" t="s">
        <v>1506</v>
      </c>
      <c r="C125" s="1" t="s">
        <v>84</v>
      </c>
      <c r="D125" s="1">
        <v>282</v>
      </c>
      <c r="E125" s="1">
        <v>290</v>
      </c>
      <c r="F125" s="1" t="s">
        <v>1507</v>
      </c>
      <c r="G125" s="1" t="s">
        <v>1508</v>
      </c>
      <c r="I125" s="1" t="s">
        <v>22</v>
      </c>
      <c r="J125" s="1" t="s">
        <v>1813</v>
      </c>
      <c r="K125" s="1">
        <v>2928</v>
      </c>
      <c r="L125" s="1">
        <v>2954</v>
      </c>
      <c r="M125" s="1" t="s">
        <v>1509</v>
      </c>
      <c r="N125" s="1" t="s">
        <v>1510</v>
      </c>
      <c r="O125" s="1" t="s">
        <v>1511</v>
      </c>
      <c r="P125" s="1" t="s">
        <v>1509</v>
      </c>
      <c r="Q125" s="1">
        <v>2150</v>
      </c>
      <c r="R125" s="1">
        <v>2176</v>
      </c>
      <c r="S125" s="1" t="s">
        <v>1512</v>
      </c>
      <c r="T125" s="1" t="s">
        <v>1512</v>
      </c>
      <c r="U125" s="1">
        <v>1</v>
      </c>
      <c r="V125" s="1">
        <v>1</v>
      </c>
      <c r="W125" s="1">
        <v>0</v>
      </c>
      <c r="X125" s="4" t="b">
        <v>0</v>
      </c>
    </row>
    <row r="126" spans="1:24" ht="17" customHeight="1" x14ac:dyDescent="0.2">
      <c r="A126" s="1" t="s">
        <v>1512</v>
      </c>
      <c r="B126" s="1" t="s">
        <v>1512</v>
      </c>
      <c r="C126" s="1" t="s">
        <v>84</v>
      </c>
      <c r="D126" s="1">
        <v>282</v>
      </c>
      <c r="E126" s="1">
        <v>290</v>
      </c>
      <c r="G126" s="1" t="s">
        <v>1508</v>
      </c>
      <c r="I126" s="1" t="s">
        <v>22</v>
      </c>
      <c r="J126" s="1" t="s">
        <v>1844</v>
      </c>
      <c r="K126" s="1">
        <v>2928</v>
      </c>
      <c r="L126" s="1">
        <v>2954</v>
      </c>
      <c r="M126" s="1" t="s">
        <v>1627</v>
      </c>
      <c r="N126" s="1" t="s">
        <v>1627</v>
      </c>
      <c r="O126" s="1" t="s">
        <v>1531</v>
      </c>
      <c r="P126" s="1" t="s">
        <v>1627</v>
      </c>
      <c r="Q126" s="1">
        <v>2150</v>
      </c>
      <c r="R126" s="1">
        <v>2176</v>
      </c>
      <c r="S126" s="1" t="s">
        <v>1512</v>
      </c>
      <c r="T126" s="1" t="s">
        <v>1512</v>
      </c>
      <c r="W126" s="1">
        <v>0</v>
      </c>
      <c r="X126" s="4" t="b">
        <v>1</v>
      </c>
    </row>
    <row r="127" spans="1:24" ht="17" customHeight="1" x14ac:dyDescent="0.2">
      <c r="A127" s="1" t="s">
        <v>1237</v>
      </c>
      <c r="B127" s="1" t="s">
        <v>1237</v>
      </c>
      <c r="C127" s="1" t="s">
        <v>84</v>
      </c>
      <c r="D127" s="1">
        <v>283</v>
      </c>
      <c r="E127" s="1">
        <v>290</v>
      </c>
      <c r="F127" s="1" t="s">
        <v>1238</v>
      </c>
      <c r="G127" s="1" t="s">
        <v>1239</v>
      </c>
      <c r="I127" s="1" t="s">
        <v>22</v>
      </c>
      <c r="J127" s="1" t="s">
        <v>1809</v>
      </c>
      <c r="K127" s="1">
        <v>2931</v>
      </c>
      <c r="L127" s="1">
        <v>2954</v>
      </c>
      <c r="M127" s="1" t="s">
        <v>1240</v>
      </c>
      <c r="N127" s="1" t="s">
        <v>1241</v>
      </c>
      <c r="O127" s="1" t="s">
        <v>1242</v>
      </c>
      <c r="P127" s="1" t="s">
        <v>1240</v>
      </c>
      <c r="Q127" s="1">
        <v>2153</v>
      </c>
      <c r="R127" s="1">
        <v>2176</v>
      </c>
      <c r="S127" s="1" t="s">
        <v>1237</v>
      </c>
      <c r="T127" s="1" t="s">
        <v>1237</v>
      </c>
      <c r="U127" s="1">
        <v>0</v>
      </c>
      <c r="V127" s="1">
        <v>0</v>
      </c>
      <c r="W127" s="1">
        <v>0</v>
      </c>
      <c r="X127" s="4" t="b">
        <v>1</v>
      </c>
    </row>
    <row r="128" spans="1:24" ht="17" customHeight="1" x14ac:dyDescent="0.2">
      <c r="A128" s="1" t="s">
        <v>876</v>
      </c>
      <c r="B128" s="1" t="s">
        <v>876</v>
      </c>
      <c r="C128" s="1" t="s">
        <v>84</v>
      </c>
      <c r="D128" s="1">
        <v>292</v>
      </c>
      <c r="E128" s="1">
        <v>301</v>
      </c>
      <c r="F128" s="1" t="s">
        <v>877</v>
      </c>
      <c r="G128" s="1" t="s">
        <v>878</v>
      </c>
      <c r="I128" s="1" t="s">
        <v>22</v>
      </c>
      <c r="J128" s="1" t="s">
        <v>1845</v>
      </c>
      <c r="K128" s="1">
        <v>2958</v>
      </c>
      <c r="L128" s="1">
        <v>2987</v>
      </c>
      <c r="M128" s="1" t="s">
        <v>879</v>
      </c>
      <c r="N128" s="1" t="s">
        <v>879</v>
      </c>
      <c r="O128" s="1" t="s">
        <v>880</v>
      </c>
      <c r="P128" s="1" t="s">
        <v>879</v>
      </c>
      <c r="Q128" s="1">
        <v>2180</v>
      </c>
      <c r="R128" s="1">
        <v>2209</v>
      </c>
      <c r="S128" s="1" t="s">
        <v>876</v>
      </c>
      <c r="T128" s="1" t="s">
        <v>876</v>
      </c>
      <c r="U128" s="1">
        <v>0</v>
      </c>
      <c r="V128" s="1">
        <v>0</v>
      </c>
      <c r="W128" s="1">
        <v>0</v>
      </c>
      <c r="X128" s="4" t="b">
        <v>1</v>
      </c>
    </row>
    <row r="129" spans="1:24" ht="17" customHeight="1" x14ac:dyDescent="0.2">
      <c r="A129" s="1" t="s">
        <v>574</v>
      </c>
      <c r="B129" s="1" t="s">
        <v>574</v>
      </c>
      <c r="C129" s="1" t="s">
        <v>84</v>
      </c>
      <c r="D129" s="1">
        <v>297</v>
      </c>
      <c r="E129" s="1">
        <v>304</v>
      </c>
      <c r="F129" s="1" t="s">
        <v>575</v>
      </c>
      <c r="G129" s="1" t="s">
        <v>576</v>
      </c>
      <c r="I129" s="1" t="s">
        <v>22</v>
      </c>
      <c r="J129" s="1" t="s">
        <v>577</v>
      </c>
      <c r="K129" s="1">
        <v>2973</v>
      </c>
      <c r="L129" s="1">
        <v>2996</v>
      </c>
      <c r="M129" s="1" t="s">
        <v>578</v>
      </c>
      <c r="N129" s="1" t="s">
        <v>579</v>
      </c>
      <c r="O129" s="1" t="s">
        <v>26</v>
      </c>
      <c r="P129" s="1" t="s">
        <v>578</v>
      </c>
      <c r="Q129" s="1">
        <v>2195</v>
      </c>
      <c r="R129" s="1">
        <v>2218</v>
      </c>
      <c r="S129" s="1" t="s">
        <v>574</v>
      </c>
      <c r="T129" s="1" t="s">
        <v>574</v>
      </c>
      <c r="U129" s="1">
        <v>0</v>
      </c>
      <c r="V129" s="1">
        <v>0</v>
      </c>
      <c r="W129" s="1">
        <v>0</v>
      </c>
      <c r="X129" s="4" t="b">
        <v>1</v>
      </c>
    </row>
    <row r="130" spans="1:24" ht="17" customHeight="1" x14ac:dyDescent="0.2">
      <c r="A130" s="1" t="s">
        <v>1628</v>
      </c>
      <c r="B130" s="1" t="s">
        <v>1628</v>
      </c>
      <c r="C130" s="1" t="s">
        <v>84</v>
      </c>
      <c r="D130" s="1">
        <v>297</v>
      </c>
      <c r="E130" s="1">
        <v>305</v>
      </c>
      <c r="G130" s="1" t="s">
        <v>1629</v>
      </c>
      <c r="I130" s="1" t="s">
        <v>22</v>
      </c>
      <c r="J130" s="1" t="s">
        <v>1846</v>
      </c>
      <c r="K130" s="1">
        <v>2973</v>
      </c>
      <c r="L130" s="1">
        <v>2999</v>
      </c>
      <c r="M130" s="1" t="s">
        <v>1630</v>
      </c>
      <c r="N130" s="1" t="s">
        <v>1630</v>
      </c>
      <c r="O130" s="1" t="s">
        <v>1531</v>
      </c>
      <c r="P130" s="1" t="s">
        <v>1630</v>
      </c>
      <c r="Q130" s="1">
        <v>2195</v>
      </c>
      <c r="R130" s="1">
        <v>2221</v>
      </c>
      <c r="S130" s="1" t="s">
        <v>1628</v>
      </c>
      <c r="T130" s="1" t="s">
        <v>1628</v>
      </c>
      <c r="W130" s="1">
        <v>0</v>
      </c>
      <c r="X130" s="4" t="b">
        <v>1</v>
      </c>
    </row>
    <row r="131" spans="1:24" ht="17" customHeight="1" x14ac:dyDescent="0.2">
      <c r="A131" s="1" t="s">
        <v>826</v>
      </c>
      <c r="B131" s="1" t="s">
        <v>826</v>
      </c>
      <c r="C131" s="1" t="s">
        <v>84</v>
      </c>
      <c r="D131" s="1">
        <v>304</v>
      </c>
      <c r="E131" s="1">
        <v>313</v>
      </c>
      <c r="F131" s="1" t="s">
        <v>827</v>
      </c>
      <c r="G131" s="1" t="s">
        <v>828</v>
      </c>
      <c r="H131" s="1" t="s">
        <v>31</v>
      </c>
      <c r="I131" s="1" t="s">
        <v>22</v>
      </c>
      <c r="J131" s="1" t="s">
        <v>289</v>
      </c>
      <c r="K131" s="1">
        <v>2994</v>
      </c>
      <c r="L131" s="1">
        <v>3023</v>
      </c>
      <c r="M131" s="1" t="s">
        <v>829</v>
      </c>
      <c r="N131" s="1" t="e">
        <v>#N/A</v>
      </c>
      <c r="O131" s="1" t="s">
        <v>830</v>
      </c>
      <c r="P131" s="1" t="s">
        <v>829</v>
      </c>
      <c r="Q131" s="1">
        <v>2216</v>
      </c>
      <c r="R131" s="1">
        <v>2245</v>
      </c>
      <c r="S131" s="1" t="s">
        <v>826</v>
      </c>
      <c r="T131" s="1" t="s">
        <v>826</v>
      </c>
      <c r="U131" s="1">
        <v>0</v>
      </c>
      <c r="V131" s="1">
        <v>0</v>
      </c>
      <c r="W131" s="1">
        <v>0</v>
      </c>
      <c r="X131" s="4" t="b">
        <v>1</v>
      </c>
    </row>
    <row r="132" spans="1:24" ht="17" customHeight="1" x14ac:dyDescent="0.2">
      <c r="A132" s="1" t="s">
        <v>1214</v>
      </c>
      <c r="B132" s="1" t="s">
        <v>1214</v>
      </c>
      <c r="C132" s="1" t="s">
        <v>84</v>
      </c>
      <c r="D132" s="1">
        <v>311</v>
      </c>
      <c r="E132" s="1">
        <v>319</v>
      </c>
      <c r="F132" s="1" t="s">
        <v>1215</v>
      </c>
      <c r="G132" s="1" t="s">
        <v>1216</v>
      </c>
      <c r="I132" s="1" t="s">
        <v>22</v>
      </c>
      <c r="J132" s="1" t="s">
        <v>1102</v>
      </c>
      <c r="K132" s="1">
        <v>3015</v>
      </c>
      <c r="L132" s="1">
        <v>3041</v>
      </c>
      <c r="M132" s="1" t="s">
        <v>1217</v>
      </c>
      <c r="N132" s="1" t="e">
        <v>#N/A</v>
      </c>
      <c r="O132" s="1" t="s">
        <v>1218</v>
      </c>
      <c r="P132" s="1" t="s">
        <v>1217</v>
      </c>
      <c r="Q132" s="1">
        <v>2237</v>
      </c>
      <c r="R132" s="1">
        <v>2263</v>
      </c>
      <c r="S132" s="1" t="s">
        <v>1214</v>
      </c>
      <c r="T132" s="1" t="s">
        <v>1214</v>
      </c>
      <c r="U132" s="1">
        <v>0</v>
      </c>
      <c r="V132" s="1">
        <v>0</v>
      </c>
      <c r="W132" s="1">
        <v>0</v>
      </c>
      <c r="X132" s="4" t="b">
        <v>1</v>
      </c>
    </row>
    <row r="133" spans="1:24" ht="17" customHeight="1" x14ac:dyDescent="0.2">
      <c r="A133" s="1" t="s">
        <v>1631</v>
      </c>
      <c r="B133" s="1" t="s">
        <v>1631</v>
      </c>
      <c r="C133" s="1" t="s">
        <v>84</v>
      </c>
      <c r="D133" s="2">
        <v>311</v>
      </c>
      <c r="E133" s="2">
        <v>321</v>
      </c>
      <c r="F133" s="3" t="s">
        <v>1753</v>
      </c>
      <c r="G133" s="1" t="s">
        <v>1632</v>
      </c>
      <c r="I133" s="1" t="s">
        <v>22</v>
      </c>
      <c r="J133" s="3" t="s">
        <v>1847</v>
      </c>
      <c r="K133" s="1">
        <v>3015</v>
      </c>
      <c r="L133" s="1">
        <v>3047</v>
      </c>
      <c r="M133" s="1" t="s">
        <v>1633</v>
      </c>
      <c r="N133" s="1" t="s">
        <v>1633</v>
      </c>
      <c r="O133" s="1" t="s">
        <v>1531</v>
      </c>
      <c r="P133" s="1" t="s">
        <v>1633</v>
      </c>
      <c r="Q133" s="1">
        <v>2237</v>
      </c>
      <c r="R133" s="1">
        <v>2269</v>
      </c>
      <c r="S133" s="1" t="s">
        <v>1631</v>
      </c>
      <c r="T133" s="1" t="s">
        <v>1631</v>
      </c>
      <c r="W133" s="1">
        <v>0</v>
      </c>
      <c r="X133" s="4" t="b">
        <v>1</v>
      </c>
    </row>
    <row r="134" spans="1:24" ht="17" customHeight="1" x14ac:dyDescent="0.2">
      <c r="A134" s="2" t="s">
        <v>1631</v>
      </c>
      <c r="B134" s="2" t="s">
        <v>1631</v>
      </c>
      <c r="C134" s="3" t="s">
        <v>84</v>
      </c>
      <c r="D134" s="2">
        <v>311</v>
      </c>
      <c r="E134" s="2">
        <v>321</v>
      </c>
      <c r="F134" s="3" t="s">
        <v>1753</v>
      </c>
      <c r="G134" s="3" t="s">
        <v>1632</v>
      </c>
      <c r="H134" s="3"/>
      <c r="I134" s="3" t="s">
        <v>22</v>
      </c>
      <c r="J134" s="3" t="s">
        <v>307</v>
      </c>
      <c r="K134" s="1">
        <v>3015</v>
      </c>
      <c r="L134" s="1">
        <v>3047</v>
      </c>
      <c r="M134" s="1" t="s">
        <v>1754</v>
      </c>
      <c r="P134" s="1" t="s">
        <v>1754</v>
      </c>
      <c r="Q134" s="1">
        <v>2237</v>
      </c>
      <c r="R134" s="1">
        <v>2269</v>
      </c>
      <c r="S134" s="1" t="s">
        <v>1631</v>
      </c>
      <c r="T134" s="1" t="s">
        <v>1631</v>
      </c>
      <c r="X134" s="4"/>
    </row>
    <row r="135" spans="1:24" ht="17" customHeight="1" x14ac:dyDescent="0.2">
      <c r="A135" s="1" t="s">
        <v>83</v>
      </c>
      <c r="B135" s="1" t="s">
        <v>83</v>
      </c>
      <c r="C135" s="1" t="s">
        <v>84</v>
      </c>
      <c r="D135" s="1">
        <v>313</v>
      </c>
      <c r="E135" s="1">
        <v>321</v>
      </c>
      <c r="F135" s="1" t="s">
        <v>85</v>
      </c>
      <c r="G135" s="1" t="s">
        <v>86</v>
      </c>
      <c r="H135" s="1" t="s">
        <v>31</v>
      </c>
      <c r="I135" s="1" t="s">
        <v>22</v>
      </c>
      <c r="J135" s="1" t="s">
        <v>1812</v>
      </c>
      <c r="K135" s="1">
        <v>3021</v>
      </c>
      <c r="L135" s="1">
        <v>3047</v>
      </c>
      <c r="M135" s="1" t="s">
        <v>88</v>
      </c>
      <c r="N135" s="1" t="s">
        <v>89</v>
      </c>
      <c r="O135" s="1" t="s">
        <v>90</v>
      </c>
      <c r="P135" s="1" t="s">
        <v>88</v>
      </c>
      <c r="Q135" s="1">
        <v>2243</v>
      </c>
      <c r="R135" s="1">
        <v>2269</v>
      </c>
      <c r="S135" s="1" t="s">
        <v>83</v>
      </c>
      <c r="T135" s="1" t="s">
        <v>83</v>
      </c>
      <c r="U135" s="1">
        <v>0</v>
      </c>
      <c r="V135" s="1">
        <v>0</v>
      </c>
      <c r="W135" s="1">
        <v>0</v>
      </c>
      <c r="X135" s="4" t="b">
        <v>1</v>
      </c>
    </row>
    <row r="136" spans="1:24" ht="17" customHeight="1" x14ac:dyDescent="0.2">
      <c r="A136" s="1" t="s">
        <v>83</v>
      </c>
      <c r="B136" s="1" t="s">
        <v>83</v>
      </c>
      <c r="C136" s="1" t="s">
        <v>84</v>
      </c>
      <c r="D136" s="1">
        <v>313</v>
      </c>
      <c r="E136" s="1">
        <v>321</v>
      </c>
      <c r="F136" s="1" t="s">
        <v>85</v>
      </c>
      <c r="G136" s="1" t="s">
        <v>86</v>
      </c>
      <c r="I136" s="1" t="s">
        <v>22</v>
      </c>
      <c r="J136" s="1" t="s">
        <v>1848</v>
      </c>
      <c r="K136" s="1">
        <v>3021</v>
      </c>
      <c r="L136" s="1">
        <v>3047</v>
      </c>
      <c r="M136" s="1" t="s">
        <v>1549</v>
      </c>
      <c r="N136" s="1" t="s">
        <v>1549</v>
      </c>
      <c r="O136" s="1" t="s">
        <v>1531</v>
      </c>
      <c r="P136" s="1" t="s">
        <v>1700</v>
      </c>
      <c r="Q136" s="1">
        <v>2243</v>
      </c>
      <c r="R136" s="1">
        <v>2269</v>
      </c>
      <c r="S136" s="1" t="s">
        <v>83</v>
      </c>
      <c r="T136" s="1" t="s">
        <v>83</v>
      </c>
      <c r="U136" s="1">
        <v>0</v>
      </c>
      <c r="V136" s="1">
        <v>0</v>
      </c>
      <c r="W136" s="1">
        <v>0</v>
      </c>
      <c r="X136" s="4" t="b">
        <v>1</v>
      </c>
    </row>
    <row r="137" spans="1:24" ht="17" customHeight="1" x14ac:dyDescent="0.2">
      <c r="A137" s="1" t="s">
        <v>732</v>
      </c>
      <c r="B137" s="1" t="s">
        <v>732</v>
      </c>
      <c r="C137" s="1" t="s">
        <v>84</v>
      </c>
      <c r="D137" s="1">
        <v>328</v>
      </c>
      <c r="E137" s="1">
        <v>336</v>
      </c>
      <c r="F137" s="1" t="s">
        <v>733</v>
      </c>
      <c r="G137" s="1" t="s">
        <v>734</v>
      </c>
      <c r="H137" s="1" t="s">
        <v>31</v>
      </c>
      <c r="I137" s="1" t="s">
        <v>22</v>
      </c>
      <c r="J137" s="1" t="s">
        <v>735</v>
      </c>
      <c r="K137" s="1">
        <v>3066</v>
      </c>
      <c r="L137" s="1">
        <v>3092</v>
      </c>
      <c r="M137" s="1" t="s">
        <v>736</v>
      </c>
      <c r="N137" s="1" t="s">
        <v>737</v>
      </c>
      <c r="O137" s="1" t="s">
        <v>738</v>
      </c>
      <c r="P137" s="1" t="s">
        <v>736</v>
      </c>
      <c r="Q137" s="1">
        <v>2288</v>
      </c>
      <c r="R137" s="1">
        <v>2314</v>
      </c>
      <c r="S137" s="1" t="s">
        <v>732</v>
      </c>
      <c r="T137" s="1" t="s">
        <v>732</v>
      </c>
      <c r="U137" s="1">
        <v>0</v>
      </c>
      <c r="V137" s="1">
        <v>0</v>
      </c>
      <c r="W137" s="1">
        <v>0</v>
      </c>
      <c r="X137" s="4" t="b">
        <v>1</v>
      </c>
    </row>
    <row r="138" spans="1:24" ht="17" customHeight="1" x14ac:dyDescent="0.2">
      <c r="A138" s="1" t="s">
        <v>732</v>
      </c>
      <c r="B138" s="1" t="s">
        <v>732</v>
      </c>
      <c r="C138" s="1" t="s">
        <v>84</v>
      </c>
      <c r="D138" s="1">
        <v>328</v>
      </c>
      <c r="E138" s="1">
        <v>336</v>
      </c>
      <c r="G138" s="1" t="s">
        <v>734</v>
      </c>
      <c r="I138" s="1" t="s">
        <v>22</v>
      </c>
      <c r="J138" s="1" t="s">
        <v>1716</v>
      </c>
      <c r="K138" s="1">
        <v>3066</v>
      </c>
      <c r="L138" s="1">
        <v>3092</v>
      </c>
      <c r="M138" s="1" t="s">
        <v>1602</v>
      </c>
      <c r="N138" s="1" t="s">
        <v>1602</v>
      </c>
      <c r="O138" s="1" t="s">
        <v>1531</v>
      </c>
      <c r="P138" s="1" t="s">
        <v>1731</v>
      </c>
      <c r="Q138" s="1">
        <v>2288</v>
      </c>
      <c r="R138" s="1">
        <v>2314</v>
      </c>
      <c r="S138" s="1" t="s">
        <v>732</v>
      </c>
      <c r="T138" s="1" t="s">
        <v>732</v>
      </c>
      <c r="U138" s="1">
        <v>0</v>
      </c>
      <c r="V138" s="1">
        <v>0</v>
      </c>
      <c r="W138" s="1">
        <v>0</v>
      </c>
      <c r="X138" s="4" t="b">
        <v>1</v>
      </c>
    </row>
    <row r="139" spans="1:24" ht="17" customHeight="1" x14ac:dyDescent="0.2">
      <c r="A139" s="1" t="s">
        <v>881</v>
      </c>
      <c r="B139" s="1" t="s">
        <v>881</v>
      </c>
      <c r="C139" s="1" t="s">
        <v>84</v>
      </c>
      <c r="D139" s="1">
        <v>330</v>
      </c>
      <c r="E139" s="1">
        <v>338</v>
      </c>
      <c r="F139" s="1" t="s">
        <v>456</v>
      </c>
      <c r="G139" s="1" t="s">
        <v>457</v>
      </c>
      <c r="I139" s="1" t="s">
        <v>22</v>
      </c>
      <c r="J139" s="1" t="s">
        <v>1845</v>
      </c>
      <c r="K139" s="1">
        <v>3072</v>
      </c>
      <c r="L139" s="1">
        <v>3098</v>
      </c>
      <c r="M139" s="1" t="s">
        <v>882</v>
      </c>
      <c r="N139" s="1" t="s">
        <v>882</v>
      </c>
      <c r="O139" s="1" t="s">
        <v>883</v>
      </c>
      <c r="P139" s="1" t="s">
        <v>882</v>
      </c>
      <c r="Q139" s="1">
        <v>2294</v>
      </c>
      <c r="R139" s="1">
        <v>2320</v>
      </c>
      <c r="S139" s="1" t="s">
        <v>461</v>
      </c>
      <c r="T139" s="1" t="s">
        <v>461</v>
      </c>
      <c r="U139" s="1">
        <v>1</v>
      </c>
      <c r="V139" s="1">
        <v>1</v>
      </c>
      <c r="W139" s="1">
        <v>0</v>
      </c>
      <c r="X139" s="4" t="b">
        <v>0</v>
      </c>
    </row>
    <row r="140" spans="1:24" ht="17" customHeight="1" x14ac:dyDescent="0.2">
      <c r="A140" s="1" t="s">
        <v>455</v>
      </c>
      <c r="B140" s="1" t="s">
        <v>455</v>
      </c>
      <c r="C140" s="1" t="s">
        <v>84</v>
      </c>
      <c r="D140" s="1">
        <v>330</v>
      </c>
      <c r="E140" s="1">
        <v>338</v>
      </c>
      <c r="F140" s="1" t="s">
        <v>456</v>
      </c>
      <c r="G140" s="1" t="s">
        <v>457</v>
      </c>
      <c r="H140" s="1" t="s">
        <v>31</v>
      </c>
      <c r="I140" s="1" t="s">
        <v>22</v>
      </c>
      <c r="J140" s="1" t="s">
        <v>1807</v>
      </c>
      <c r="K140" s="1">
        <v>3072</v>
      </c>
      <c r="L140" s="1">
        <v>3098</v>
      </c>
      <c r="M140" s="1" t="s">
        <v>458</v>
      </c>
      <c r="N140" s="1" t="s">
        <v>459</v>
      </c>
      <c r="O140" s="1" t="s">
        <v>460</v>
      </c>
      <c r="P140" s="1" t="s">
        <v>458</v>
      </c>
      <c r="Q140" s="1">
        <v>2294</v>
      </c>
      <c r="R140" s="1">
        <v>2320</v>
      </c>
      <c r="S140" s="1" t="s">
        <v>461</v>
      </c>
      <c r="T140" s="1" t="s">
        <v>461</v>
      </c>
      <c r="U140" s="1">
        <v>1</v>
      </c>
      <c r="V140" s="1">
        <v>1</v>
      </c>
      <c r="W140" s="1">
        <v>0</v>
      </c>
      <c r="X140" s="4" t="b">
        <v>0</v>
      </c>
    </row>
    <row r="141" spans="1:24" ht="17" customHeight="1" x14ac:dyDescent="0.2">
      <c r="A141" s="1" t="s">
        <v>1785</v>
      </c>
      <c r="B141" s="1" t="s">
        <v>1785</v>
      </c>
      <c r="C141" s="1" t="s">
        <v>84</v>
      </c>
      <c r="D141" s="1">
        <v>332</v>
      </c>
      <c r="E141" s="1">
        <v>340</v>
      </c>
      <c r="F141" s="1" t="s">
        <v>1778</v>
      </c>
      <c r="G141" s="1" t="s">
        <v>1634</v>
      </c>
      <c r="I141" s="1" t="s">
        <v>22</v>
      </c>
      <c r="J141" s="1" t="s">
        <v>333</v>
      </c>
      <c r="K141" s="1">
        <v>3078</v>
      </c>
      <c r="L141" s="1">
        <v>3104</v>
      </c>
      <c r="M141" s="1" t="s">
        <v>1635</v>
      </c>
      <c r="N141" s="1" t="s">
        <v>1635</v>
      </c>
      <c r="O141" s="1" t="s">
        <v>1531</v>
      </c>
      <c r="P141" s="1" t="s">
        <v>1635</v>
      </c>
      <c r="Q141" s="1">
        <v>2300</v>
      </c>
      <c r="R141" s="1">
        <v>2326</v>
      </c>
      <c r="S141" s="1" t="s">
        <v>1785</v>
      </c>
      <c r="T141" s="1" t="s">
        <v>1785</v>
      </c>
      <c r="W141" s="1">
        <v>0</v>
      </c>
      <c r="X141" s="4" t="b">
        <v>1</v>
      </c>
    </row>
    <row r="142" spans="1:24" ht="17" customHeight="1" x14ac:dyDescent="0.2">
      <c r="A142" s="1" t="s">
        <v>1336</v>
      </c>
      <c r="B142" s="1" t="s">
        <v>1336</v>
      </c>
      <c r="C142" s="1" t="s">
        <v>84</v>
      </c>
      <c r="D142" s="1">
        <v>334</v>
      </c>
      <c r="E142" s="1">
        <v>342</v>
      </c>
      <c r="F142" s="1" t="s">
        <v>1337</v>
      </c>
      <c r="G142" s="1" t="s">
        <v>1338</v>
      </c>
      <c r="H142" s="1" t="s">
        <v>31</v>
      </c>
      <c r="I142" s="1" t="s">
        <v>22</v>
      </c>
      <c r="J142" s="1" t="s">
        <v>1804</v>
      </c>
      <c r="K142" s="1">
        <v>3084</v>
      </c>
      <c r="L142" s="1">
        <v>3110</v>
      </c>
      <c r="M142" s="1" t="s">
        <v>1339</v>
      </c>
      <c r="N142" s="1" t="s">
        <v>1340</v>
      </c>
      <c r="O142" s="1" t="s">
        <v>1341</v>
      </c>
      <c r="P142" s="1" t="s">
        <v>1339</v>
      </c>
      <c r="Q142" s="1">
        <v>2306</v>
      </c>
      <c r="R142" s="1">
        <v>2332</v>
      </c>
      <c r="S142" s="1" t="s">
        <v>1336</v>
      </c>
      <c r="T142" s="1" t="s">
        <v>1336</v>
      </c>
      <c r="U142" s="1">
        <v>0</v>
      </c>
      <c r="V142" s="1">
        <v>0</v>
      </c>
      <c r="W142" s="1">
        <v>0</v>
      </c>
      <c r="X142" s="4" t="b">
        <v>1</v>
      </c>
    </row>
    <row r="143" spans="1:24" ht="17" customHeight="1" x14ac:dyDescent="0.2">
      <c r="A143" s="1" t="s">
        <v>1636</v>
      </c>
      <c r="B143" s="1" t="s">
        <v>1636</v>
      </c>
      <c r="C143" s="1" t="s">
        <v>84</v>
      </c>
      <c r="D143" s="1">
        <v>334</v>
      </c>
      <c r="E143" s="1">
        <v>344</v>
      </c>
      <c r="G143" s="1" t="s">
        <v>1637</v>
      </c>
      <c r="I143" s="1" t="s">
        <v>22</v>
      </c>
      <c r="J143" s="1" t="s">
        <v>94</v>
      </c>
      <c r="K143" s="1">
        <v>3084</v>
      </c>
      <c r="L143" s="1">
        <v>3116</v>
      </c>
      <c r="M143" s="1" t="s">
        <v>1638</v>
      </c>
      <c r="N143" s="1" t="s">
        <v>1638</v>
      </c>
      <c r="O143" s="1" t="s">
        <v>1531</v>
      </c>
      <c r="P143" s="1" t="s">
        <v>1638</v>
      </c>
      <c r="Q143" s="1">
        <v>2306</v>
      </c>
      <c r="R143" s="1">
        <v>2338</v>
      </c>
      <c r="S143" s="1" t="s">
        <v>1636</v>
      </c>
      <c r="T143" s="1" t="s">
        <v>1636</v>
      </c>
      <c r="W143" s="1">
        <v>0</v>
      </c>
      <c r="X143" s="4" t="b">
        <v>1</v>
      </c>
    </row>
    <row r="144" spans="1:24" ht="17" customHeight="1" x14ac:dyDescent="0.2">
      <c r="A144" s="1" t="s">
        <v>1884</v>
      </c>
      <c r="B144" s="1" t="s">
        <v>1884</v>
      </c>
      <c r="C144" s="1" t="s">
        <v>84</v>
      </c>
      <c r="D144" s="1">
        <v>336</v>
      </c>
      <c r="E144" s="1">
        <v>344</v>
      </c>
      <c r="G144" s="1" t="s">
        <v>1637</v>
      </c>
      <c r="I144" s="1" t="s">
        <v>22</v>
      </c>
      <c r="J144" s="1" t="s">
        <v>1885</v>
      </c>
      <c r="S144" s="1" t="s">
        <v>1884</v>
      </c>
      <c r="T144" s="1" t="s">
        <v>1884</v>
      </c>
      <c r="X144" s="4"/>
    </row>
    <row r="145" spans="1:24" ht="17" customHeight="1" x14ac:dyDescent="0.2">
      <c r="A145" s="1" t="s">
        <v>513</v>
      </c>
      <c r="B145" s="1" t="s">
        <v>513</v>
      </c>
      <c r="C145" s="1" t="s">
        <v>84</v>
      </c>
      <c r="D145" s="1">
        <v>357</v>
      </c>
      <c r="E145" s="1">
        <v>365</v>
      </c>
      <c r="F145" s="1" t="s">
        <v>514</v>
      </c>
      <c r="G145" s="1" t="s">
        <v>515</v>
      </c>
      <c r="H145" s="1" t="s">
        <v>31</v>
      </c>
      <c r="I145" s="1" t="s">
        <v>22</v>
      </c>
      <c r="J145" s="1" t="s">
        <v>516</v>
      </c>
      <c r="K145" s="1">
        <v>3153</v>
      </c>
      <c r="L145" s="1">
        <v>3179</v>
      </c>
      <c r="M145" s="1" t="s">
        <v>517</v>
      </c>
      <c r="N145" s="1" t="s">
        <v>517</v>
      </c>
      <c r="O145" s="1" t="s">
        <v>26</v>
      </c>
      <c r="P145" s="1" t="s">
        <v>517</v>
      </c>
      <c r="Q145" s="1">
        <v>2375</v>
      </c>
      <c r="R145" s="1">
        <v>2401</v>
      </c>
      <c r="S145" s="1" t="s">
        <v>513</v>
      </c>
      <c r="T145" s="1" t="s">
        <v>513</v>
      </c>
      <c r="U145" s="1">
        <v>0</v>
      </c>
      <c r="V145" s="1">
        <v>0</v>
      </c>
      <c r="W145" s="1">
        <v>0</v>
      </c>
      <c r="X145" s="4" t="b">
        <v>1</v>
      </c>
    </row>
    <row r="146" spans="1:24" ht="17" customHeight="1" x14ac:dyDescent="0.2">
      <c r="A146" s="1" t="s">
        <v>614</v>
      </c>
      <c r="B146" s="1" t="s">
        <v>614</v>
      </c>
      <c r="C146" s="1" t="s">
        <v>84</v>
      </c>
      <c r="D146" s="1">
        <v>399</v>
      </c>
      <c r="E146" s="1">
        <v>407</v>
      </c>
      <c r="F146" s="1" t="s">
        <v>615</v>
      </c>
      <c r="G146" s="1" t="s">
        <v>616</v>
      </c>
      <c r="I146" s="1" t="s">
        <v>22</v>
      </c>
      <c r="J146" s="1" t="s">
        <v>658</v>
      </c>
      <c r="K146" s="1">
        <v>3279</v>
      </c>
      <c r="L146" s="1">
        <v>3305</v>
      </c>
      <c r="M146" s="1" t="s">
        <v>617</v>
      </c>
      <c r="N146" s="1" t="e">
        <v>#N/A</v>
      </c>
      <c r="O146" s="1" t="s">
        <v>505</v>
      </c>
      <c r="P146" s="1" t="s">
        <v>617</v>
      </c>
      <c r="Q146" s="1">
        <v>2501</v>
      </c>
      <c r="R146" s="1">
        <v>2527</v>
      </c>
      <c r="S146" s="1" t="s">
        <v>614</v>
      </c>
      <c r="T146" s="1" t="s">
        <v>614</v>
      </c>
      <c r="U146" s="1">
        <v>0</v>
      </c>
      <c r="V146" s="1">
        <v>0</v>
      </c>
      <c r="W146" s="1">
        <v>0</v>
      </c>
      <c r="X146" s="4" t="b">
        <v>1</v>
      </c>
    </row>
    <row r="147" spans="1:24" ht="17" customHeight="1" x14ac:dyDescent="0.2">
      <c r="A147" s="1" t="s">
        <v>841</v>
      </c>
      <c r="B147" s="1" t="s">
        <v>841</v>
      </c>
      <c r="C147" s="1" t="s">
        <v>84</v>
      </c>
      <c r="D147" s="1">
        <v>415</v>
      </c>
      <c r="E147" s="1">
        <v>426</v>
      </c>
      <c r="F147" s="1" t="s">
        <v>842</v>
      </c>
      <c r="G147" s="1" t="s">
        <v>843</v>
      </c>
      <c r="I147" s="1" t="s">
        <v>22</v>
      </c>
      <c r="J147" s="1" t="s">
        <v>844</v>
      </c>
      <c r="K147" s="1">
        <v>3327</v>
      </c>
      <c r="L147" s="1">
        <v>3362</v>
      </c>
      <c r="M147" s="1" t="s">
        <v>845</v>
      </c>
      <c r="N147" s="1" t="s">
        <v>845</v>
      </c>
      <c r="O147" s="1" t="s">
        <v>26</v>
      </c>
      <c r="P147" s="1" t="s">
        <v>845</v>
      </c>
      <c r="Q147" s="1">
        <v>2549</v>
      </c>
      <c r="R147" s="1">
        <v>2584</v>
      </c>
      <c r="S147" s="1" t="s">
        <v>841</v>
      </c>
      <c r="T147" s="1" t="s">
        <v>841</v>
      </c>
      <c r="U147" s="1">
        <v>0</v>
      </c>
      <c r="V147" s="1">
        <v>0</v>
      </c>
      <c r="W147" s="1">
        <v>0</v>
      </c>
      <c r="X147" s="4" t="b">
        <v>1</v>
      </c>
    </row>
    <row r="148" spans="1:24" ht="17" customHeight="1" x14ac:dyDescent="0.2">
      <c r="A148" s="1" t="s">
        <v>713</v>
      </c>
      <c r="B148" s="1" t="s">
        <v>713</v>
      </c>
      <c r="C148" s="1" t="s">
        <v>84</v>
      </c>
      <c r="D148" s="1">
        <v>418</v>
      </c>
      <c r="E148" s="1">
        <v>426</v>
      </c>
      <c r="F148" s="1" t="s">
        <v>714</v>
      </c>
      <c r="G148" s="1" t="s">
        <v>715</v>
      </c>
      <c r="H148" s="1" t="s">
        <v>31</v>
      </c>
      <c r="I148" s="1" t="s">
        <v>22</v>
      </c>
      <c r="J148" s="1" t="s">
        <v>434</v>
      </c>
      <c r="K148" s="1">
        <v>3336</v>
      </c>
      <c r="L148" s="1">
        <v>3362</v>
      </c>
      <c r="M148" s="1" t="s">
        <v>716</v>
      </c>
      <c r="N148" s="1" t="s">
        <v>717</v>
      </c>
      <c r="O148" s="1" t="s">
        <v>718</v>
      </c>
      <c r="P148" s="1" t="s">
        <v>716</v>
      </c>
      <c r="Q148" s="1">
        <v>2558</v>
      </c>
      <c r="R148" s="1">
        <v>2584</v>
      </c>
      <c r="S148" s="1" t="s">
        <v>713</v>
      </c>
      <c r="T148" s="1" t="s">
        <v>713</v>
      </c>
      <c r="U148" s="1">
        <v>0</v>
      </c>
      <c r="V148" s="1">
        <v>0</v>
      </c>
      <c r="W148" s="1">
        <v>0</v>
      </c>
      <c r="X148" s="4" t="s">
        <v>439</v>
      </c>
    </row>
    <row r="149" spans="1:24" ht="17" customHeight="1" x14ac:dyDescent="0.2">
      <c r="A149" s="1" t="s">
        <v>955</v>
      </c>
      <c r="B149" s="1" t="s">
        <v>955</v>
      </c>
      <c r="C149" s="1" t="s">
        <v>84</v>
      </c>
      <c r="D149" s="1">
        <v>424</v>
      </c>
      <c r="E149" s="1">
        <v>432</v>
      </c>
      <c r="F149" s="1" t="s">
        <v>956</v>
      </c>
      <c r="G149" s="1" t="s">
        <v>957</v>
      </c>
      <c r="H149" s="1" t="s">
        <v>31</v>
      </c>
      <c r="I149" s="1" t="s">
        <v>22</v>
      </c>
      <c r="J149" s="1" t="s">
        <v>87</v>
      </c>
      <c r="K149" s="1">
        <v>3354</v>
      </c>
      <c r="L149" s="1">
        <v>3380</v>
      </c>
      <c r="M149" s="1" t="s">
        <v>958</v>
      </c>
      <c r="N149" s="1" t="s">
        <v>959</v>
      </c>
      <c r="O149" s="1" t="s">
        <v>960</v>
      </c>
      <c r="P149" s="1" t="s">
        <v>958</v>
      </c>
      <c r="Q149" s="1">
        <v>2576</v>
      </c>
      <c r="R149" s="1">
        <v>2602</v>
      </c>
      <c r="S149" s="1" t="s">
        <v>961</v>
      </c>
      <c r="T149" s="1" t="s">
        <v>955</v>
      </c>
      <c r="U149" s="1">
        <v>2</v>
      </c>
      <c r="V149" s="1">
        <v>0</v>
      </c>
      <c r="W149" s="1">
        <v>2</v>
      </c>
      <c r="X149" s="4" t="b">
        <v>1</v>
      </c>
    </row>
    <row r="150" spans="1:24" ht="17" customHeight="1" x14ac:dyDescent="0.2">
      <c r="A150" s="1" t="s">
        <v>1476</v>
      </c>
      <c r="B150" s="1" t="s">
        <v>1476</v>
      </c>
      <c r="C150" s="1" t="s">
        <v>84</v>
      </c>
      <c r="D150" s="1">
        <v>426</v>
      </c>
      <c r="E150" s="1">
        <v>434</v>
      </c>
      <c r="F150" s="1" t="s">
        <v>1477</v>
      </c>
      <c r="G150" s="1" t="s">
        <v>1478</v>
      </c>
      <c r="H150" s="1" t="s">
        <v>31</v>
      </c>
      <c r="I150" s="1" t="s">
        <v>22</v>
      </c>
      <c r="J150" s="1" t="s">
        <v>1479</v>
      </c>
      <c r="K150" s="1">
        <v>3360</v>
      </c>
      <c r="L150" s="1">
        <v>3386</v>
      </c>
      <c r="M150" s="1" t="s">
        <v>1480</v>
      </c>
      <c r="N150" s="1" t="e">
        <v>#N/A</v>
      </c>
      <c r="O150" s="1" t="s">
        <v>1481</v>
      </c>
      <c r="P150" s="1" t="s">
        <v>1480</v>
      </c>
      <c r="Q150" s="1">
        <v>2582</v>
      </c>
      <c r="R150" s="1">
        <v>2608</v>
      </c>
      <c r="S150" s="1" t="s">
        <v>1482</v>
      </c>
      <c r="T150" s="1" t="s">
        <v>1476</v>
      </c>
      <c r="U150" s="1">
        <v>2</v>
      </c>
      <c r="V150" s="1">
        <v>0</v>
      </c>
      <c r="W150" s="1">
        <v>2</v>
      </c>
      <c r="X150" s="4" t="b">
        <v>1</v>
      </c>
    </row>
    <row r="151" spans="1:24" ht="17" customHeight="1" x14ac:dyDescent="0.2">
      <c r="A151" s="1" t="s">
        <v>550</v>
      </c>
      <c r="B151" s="1" t="s">
        <v>550</v>
      </c>
      <c r="C151" s="1" t="s">
        <v>84</v>
      </c>
      <c r="D151" s="1">
        <v>448</v>
      </c>
      <c r="E151" s="1">
        <v>456</v>
      </c>
      <c r="F151" s="1" t="s">
        <v>551</v>
      </c>
      <c r="G151" s="1" t="s">
        <v>552</v>
      </c>
      <c r="I151" s="1" t="s">
        <v>22</v>
      </c>
      <c r="J151" s="1" t="s">
        <v>1891</v>
      </c>
      <c r="K151" s="1">
        <v>3426</v>
      </c>
      <c r="L151" s="1">
        <v>3452</v>
      </c>
      <c r="M151" s="1" t="s">
        <v>553</v>
      </c>
      <c r="N151" s="1" t="s">
        <v>554</v>
      </c>
      <c r="O151" s="1" t="s">
        <v>555</v>
      </c>
      <c r="P151" s="1" t="s">
        <v>553</v>
      </c>
      <c r="Q151" s="1">
        <v>2648</v>
      </c>
      <c r="R151" s="1">
        <v>2674</v>
      </c>
      <c r="S151" s="1" t="s">
        <v>550</v>
      </c>
      <c r="T151" s="1" t="s">
        <v>550</v>
      </c>
      <c r="U151" s="1">
        <v>0</v>
      </c>
      <c r="V151" s="1">
        <v>0</v>
      </c>
      <c r="W151" s="1">
        <v>0</v>
      </c>
      <c r="X151" s="4" t="b">
        <v>1</v>
      </c>
    </row>
    <row r="152" spans="1:24" ht="17" customHeight="1" x14ac:dyDescent="0.2">
      <c r="A152" s="1" t="s">
        <v>550</v>
      </c>
      <c r="B152" s="1" t="s">
        <v>550</v>
      </c>
      <c r="C152" s="1" t="s">
        <v>84</v>
      </c>
      <c r="D152" s="1">
        <v>448</v>
      </c>
      <c r="E152" s="1">
        <v>456</v>
      </c>
      <c r="G152" s="1" t="s">
        <v>552</v>
      </c>
      <c r="I152" s="1" t="s">
        <v>22</v>
      </c>
      <c r="J152" s="1" t="s">
        <v>815</v>
      </c>
      <c r="K152" s="1">
        <v>3426</v>
      </c>
      <c r="L152" s="1">
        <v>3452</v>
      </c>
      <c r="M152" s="1" t="s">
        <v>1579</v>
      </c>
      <c r="N152" s="1" t="s">
        <v>1579</v>
      </c>
      <c r="O152" s="1" t="s">
        <v>1531</v>
      </c>
      <c r="P152" s="1" t="s">
        <v>1718</v>
      </c>
      <c r="Q152" s="1">
        <v>2648</v>
      </c>
      <c r="R152" s="1">
        <v>2674</v>
      </c>
      <c r="S152" s="1" t="s">
        <v>550</v>
      </c>
      <c r="T152" s="1" t="s">
        <v>550</v>
      </c>
      <c r="U152" s="1">
        <v>0</v>
      </c>
      <c r="V152" s="1">
        <v>0</v>
      </c>
      <c r="W152" s="1">
        <v>0</v>
      </c>
      <c r="X152" s="4" t="b">
        <v>1</v>
      </c>
    </row>
    <row r="153" spans="1:24" ht="17" customHeight="1" x14ac:dyDescent="0.2">
      <c r="A153" s="1" t="s">
        <v>533</v>
      </c>
      <c r="B153" s="1" t="s">
        <v>533</v>
      </c>
      <c r="C153" s="1" t="s">
        <v>84</v>
      </c>
      <c r="D153" s="1">
        <v>464</v>
      </c>
      <c r="E153" s="1">
        <v>472</v>
      </c>
      <c r="F153" s="1" t="s">
        <v>534</v>
      </c>
      <c r="G153" s="1" t="s">
        <v>535</v>
      </c>
      <c r="H153" s="1" t="s">
        <v>31</v>
      </c>
      <c r="I153" s="1" t="s">
        <v>22</v>
      </c>
      <c r="J153" s="1" t="s">
        <v>1804</v>
      </c>
      <c r="K153" s="1">
        <v>3474</v>
      </c>
      <c r="L153" s="1">
        <v>3500</v>
      </c>
      <c r="M153" s="1" t="s">
        <v>536</v>
      </c>
      <c r="N153" s="1" t="s">
        <v>537</v>
      </c>
      <c r="O153" s="1" t="s">
        <v>538</v>
      </c>
      <c r="P153" s="1" t="s">
        <v>536</v>
      </c>
      <c r="Q153" s="1">
        <v>2696</v>
      </c>
      <c r="R153" s="1">
        <v>2722</v>
      </c>
      <c r="S153" s="1" t="s">
        <v>533</v>
      </c>
      <c r="T153" s="1" t="s">
        <v>533</v>
      </c>
      <c r="U153" s="1">
        <v>0</v>
      </c>
      <c r="V153" s="1">
        <v>0</v>
      </c>
      <c r="W153" s="1">
        <v>0</v>
      </c>
      <c r="X153" s="4" t="b">
        <v>1</v>
      </c>
    </row>
    <row r="154" spans="1:24" ht="17" customHeight="1" x14ac:dyDescent="0.2">
      <c r="A154" s="1" t="s">
        <v>539</v>
      </c>
      <c r="B154" s="1" t="s">
        <v>539</v>
      </c>
      <c r="C154" s="1" t="s">
        <v>84</v>
      </c>
      <c r="D154" s="1">
        <v>464</v>
      </c>
      <c r="E154" s="1">
        <v>473</v>
      </c>
      <c r="F154" s="1" t="s">
        <v>540</v>
      </c>
      <c r="G154" s="1" t="s">
        <v>541</v>
      </c>
      <c r="H154" s="1" t="s">
        <v>31</v>
      </c>
      <c r="I154" s="1" t="s">
        <v>22</v>
      </c>
      <c r="J154" s="1" t="s">
        <v>542</v>
      </c>
      <c r="K154" s="1">
        <v>3474</v>
      </c>
      <c r="L154" s="1">
        <v>3503</v>
      </c>
      <c r="M154" s="1" t="s">
        <v>543</v>
      </c>
      <c r="N154" s="1" t="s">
        <v>543</v>
      </c>
      <c r="O154" s="1" t="s">
        <v>26</v>
      </c>
      <c r="P154" s="1" t="s">
        <v>543</v>
      </c>
      <c r="Q154" s="1">
        <v>2696</v>
      </c>
      <c r="R154" s="1">
        <v>2725</v>
      </c>
      <c r="S154" s="1" t="s">
        <v>539</v>
      </c>
      <c r="T154" s="1" t="s">
        <v>539</v>
      </c>
      <c r="U154" s="1">
        <v>0</v>
      </c>
      <c r="V154" s="1">
        <v>0</v>
      </c>
      <c r="W154" s="1">
        <v>0</v>
      </c>
      <c r="X154" s="4" t="b">
        <v>1</v>
      </c>
    </row>
    <row r="155" spans="1:24" ht="17" customHeight="1" x14ac:dyDescent="0.2">
      <c r="A155" s="1" t="s">
        <v>539</v>
      </c>
      <c r="B155" s="1" t="s">
        <v>539</v>
      </c>
      <c r="C155" s="1" t="s">
        <v>84</v>
      </c>
      <c r="D155" s="1">
        <v>464</v>
      </c>
      <c r="E155" s="1">
        <v>473</v>
      </c>
      <c r="G155" s="1" t="s">
        <v>541</v>
      </c>
      <c r="I155" s="1" t="s">
        <v>22</v>
      </c>
      <c r="J155" s="1" t="s">
        <v>1716</v>
      </c>
      <c r="K155" s="1">
        <v>3474</v>
      </c>
      <c r="L155" s="1">
        <v>3503</v>
      </c>
      <c r="M155" s="1" t="s">
        <v>1601</v>
      </c>
      <c r="N155" s="1" t="s">
        <v>1601</v>
      </c>
      <c r="O155" s="1" t="s">
        <v>1531</v>
      </c>
      <c r="P155" s="1" t="s">
        <v>1717</v>
      </c>
      <c r="Q155" s="1">
        <v>2696</v>
      </c>
      <c r="R155" s="1">
        <v>2725</v>
      </c>
      <c r="S155" s="1" t="s">
        <v>539</v>
      </c>
      <c r="T155" s="1" t="s">
        <v>539</v>
      </c>
      <c r="U155" s="1">
        <v>0</v>
      </c>
      <c r="V155" s="1">
        <v>0</v>
      </c>
      <c r="W155" s="1">
        <v>0</v>
      </c>
      <c r="X155" s="4" t="b">
        <v>1</v>
      </c>
    </row>
    <row r="156" spans="1:24" ht="17" customHeight="1" x14ac:dyDescent="0.2">
      <c r="A156" s="1" t="s">
        <v>1415</v>
      </c>
      <c r="B156" s="1" t="s">
        <v>1415</v>
      </c>
      <c r="C156" s="1" t="s">
        <v>84</v>
      </c>
      <c r="D156" s="1">
        <v>472</v>
      </c>
      <c r="E156" s="1">
        <v>481</v>
      </c>
      <c r="F156" s="1" t="s">
        <v>1416</v>
      </c>
      <c r="G156" s="1" t="s">
        <v>1417</v>
      </c>
      <c r="I156" s="1" t="s">
        <v>22</v>
      </c>
      <c r="J156" s="1" t="s">
        <v>1418</v>
      </c>
      <c r="K156" s="1">
        <v>3498</v>
      </c>
      <c r="L156" s="1">
        <v>3525</v>
      </c>
      <c r="M156" s="1" t="s">
        <v>1419</v>
      </c>
      <c r="N156" s="1" t="e">
        <v>#N/A</v>
      </c>
      <c r="O156" s="1" t="s">
        <v>1420</v>
      </c>
      <c r="P156" s="1" t="s">
        <v>1419</v>
      </c>
      <c r="Q156" s="1">
        <v>2720</v>
      </c>
      <c r="R156" s="1">
        <v>2747</v>
      </c>
      <c r="S156" s="1" t="s">
        <v>1415</v>
      </c>
      <c r="T156" s="1" t="s">
        <v>1415</v>
      </c>
      <c r="U156" s="1">
        <v>0</v>
      </c>
      <c r="V156" s="1">
        <v>0</v>
      </c>
      <c r="W156" s="1">
        <v>0</v>
      </c>
      <c r="X156" s="4" t="b">
        <v>1</v>
      </c>
    </row>
    <row r="157" spans="1:24" ht="17" customHeight="1" x14ac:dyDescent="0.2">
      <c r="A157" s="1" t="s">
        <v>407</v>
      </c>
      <c r="B157" s="1" t="s">
        <v>407</v>
      </c>
      <c r="C157" s="1" t="s">
        <v>84</v>
      </c>
      <c r="D157" s="1">
        <v>488</v>
      </c>
      <c r="E157" s="1">
        <v>496</v>
      </c>
      <c r="F157" s="1" t="s">
        <v>408</v>
      </c>
      <c r="G157" s="1" t="s">
        <v>409</v>
      </c>
      <c r="I157" s="1" t="s">
        <v>22</v>
      </c>
      <c r="J157" s="1" t="s">
        <v>1826</v>
      </c>
      <c r="K157" s="1">
        <v>3546</v>
      </c>
      <c r="L157" s="1">
        <v>3572</v>
      </c>
      <c r="M157" s="1" t="s">
        <v>410</v>
      </c>
      <c r="N157" s="1" t="s">
        <v>410</v>
      </c>
      <c r="O157" s="1" t="s">
        <v>26</v>
      </c>
      <c r="P157" s="1" t="s">
        <v>410</v>
      </c>
      <c r="Q157" s="1">
        <v>2768</v>
      </c>
      <c r="R157" s="1">
        <v>2794</v>
      </c>
      <c r="S157" s="1" t="s">
        <v>407</v>
      </c>
      <c r="T157" s="1" t="s">
        <v>407</v>
      </c>
      <c r="U157" s="1">
        <v>0</v>
      </c>
      <c r="V157" s="1">
        <v>0</v>
      </c>
      <c r="W157" s="1">
        <v>0</v>
      </c>
      <c r="X157" s="4" t="b">
        <v>1</v>
      </c>
    </row>
    <row r="158" spans="1:24" ht="17" customHeight="1" x14ac:dyDescent="0.2">
      <c r="A158" s="1" t="s">
        <v>637</v>
      </c>
      <c r="B158" s="1" t="s">
        <v>637</v>
      </c>
      <c r="C158" s="1" t="s">
        <v>84</v>
      </c>
      <c r="D158" s="1">
        <v>496</v>
      </c>
      <c r="E158" s="1">
        <v>505</v>
      </c>
      <c r="F158" s="1" t="s">
        <v>638</v>
      </c>
      <c r="G158" s="1" t="s">
        <v>639</v>
      </c>
      <c r="H158" s="1" t="s">
        <v>31</v>
      </c>
      <c r="I158" s="1" t="s">
        <v>22</v>
      </c>
      <c r="J158" s="1" t="s">
        <v>40</v>
      </c>
      <c r="K158" s="1">
        <v>3570</v>
      </c>
      <c r="L158" s="1">
        <v>3599</v>
      </c>
      <c r="M158" s="1" t="s">
        <v>640</v>
      </c>
      <c r="N158" s="1" t="s">
        <v>641</v>
      </c>
      <c r="O158" s="1" t="s">
        <v>642</v>
      </c>
      <c r="P158" s="1" t="s">
        <v>640</v>
      </c>
      <c r="Q158" s="1">
        <v>2792</v>
      </c>
      <c r="R158" s="1">
        <v>2821</v>
      </c>
      <c r="S158" s="1" t="s">
        <v>637</v>
      </c>
      <c r="T158" s="1" t="s">
        <v>637</v>
      </c>
      <c r="U158" s="1">
        <v>0</v>
      </c>
      <c r="V158" s="1">
        <v>0</v>
      </c>
      <c r="W158" s="1">
        <v>0</v>
      </c>
      <c r="X158" s="4" t="b">
        <v>1</v>
      </c>
    </row>
    <row r="159" spans="1:24" ht="17" customHeight="1" x14ac:dyDescent="0.2">
      <c r="A159" s="1" t="s">
        <v>1035</v>
      </c>
      <c r="B159" s="1" t="s">
        <v>1035</v>
      </c>
      <c r="C159" s="1" t="s">
        <v>84</v>
      </c>
      <c r="D159" s="1">
        <v>511</v>
      </c>
      <c r="E159" s="1">
        <v>520</v>
      </c>
      <c r="F159" s="1" t="s">
        <v>1036</v>
      </c>
      <c r="G159" s="1" t="s">
        <v>1037</v>
      </c>
      <c r="I159" s="1" t="s">
        <v>22</v>
      </c>
      <c r="J159" s="1" t="s">
        <v>1817</v>
      </c>
      <c r="K159" s="1">
        <v>3615</v>
      </c>
      <c r="L159" s="1">
        <v>3644</v>
      </c>
      <c r="M159" s="1" t="s">
        <v>1038</v>
      </c>
      <c r="N159" s="1" t="s">
        <v>1039</v>
      </c>
      <c r="O159" s="1" t="s">
        <v>1040</v>
      </c>
      <c r="P159" s="1" t="s">
        <v>1038</v>
      </c>
      <c r="Q159" s="1">
        <v>2837</v>
      </c>
      <c r="R159" s="1">
        <v>2866</v>
      </c>
      <c r="S159" s="1" t="s">
        <v>1035</v>
      </c>
      <c r="T159" s="1" t="s">
        <v>1035</v>
      </c>
      <c r="U159" s="1">
        <v>0</v>
      </c>
      <c r="V159" s="1">
        <v>0</v>
      </c>
      <c r="W159" s="1">
        <v>0</v>
      </c>
      <c r="X159" s="4" t="b">
        <v>1</v>
      </c>
    </row>
    <row r="160" spans="1:24" ht="17" customHeight="1" x14ac:dyDescent="0.2">
      <c r="A160" s="1" t="s">
        <v>1041</v>
      </c>
      <c r="B160" s="1" t="s">
        <v>1041</v>
      </c>
      <c r="C160" s="1" t="s">
        <v>84</v>
      </c>
      <c r="D160" s="1">
        <v>511</v>
      </c>
      <c r="E160" s="1">
        <v>521</v>
      </c>
      <c r="F160" s="1" t="s">
        <v>1042</v>
      </c>
      <c r="G160" s="1" t="s">
        <v>1043</v>
      </c>
      <c r="I160" s="1" t="s">
        <v>22</v>
      </c>
      <c r="J160" s="1" t="s">
        <v>1849</v>
      </c>
      <c r="K160" s="1">
        <v>3615</v>
      </c>
      <c r="L160" s="1">
        <v>3647</v>
      </c>
      <c r="M160" s="1" t="s">
        <v>1044</v>
      </c>
      <c r="N160" s="1" t="s">
        <v>1045</v>
      </c>
      <c r="O160" s="1" t="s">
        <v>1046</v>
      </c>
      <c r="P160" s="1" t="s">
        <v>1044</v>
      </c>
      <c r="Q160" s="1">
        <v>2837</v>
      </c>
      <c r="R160" s="1">
        <v>2869</v>
      </c>
      <c r="S160" s="1" t="s">
        <v>1041</v>
      </c>
      <c r="T160" s="1" t="s">
        <v>1041</v>
      </c>
      <c r="U160" s="1">
        <v>0</v>
      </c>
      <c r="V160" s="1">
        <v>0</v>
      </c>
      <c r="W160" s="1">
        <v>0</v>
      </c>
      <c r="X160" s="4" t="b">
        <v>1</v>
      </c>
    </row>
    <row r="161" spans="1:24" ht="17" customHeight="1" x14ac:dyDescent="0.2">
      <c r="A161" s="1" t="s">
        <v>500</v>
      </c>
      <c r="B161" s="1" t="s">
        <v>500</v>
      </c>
      <c r="C161" s="1" t="s">
        <v>84</v>
      </c>
      <c r="D161" s="1">
        <v>530</v>
      </c>
      <c r="E161" s="1">
        <v>538</v>
      </c>
      <c r="F161" s="1" t="s">
        <v>501</v>
      </c>
      <c r="G161" s="1" t="s">
        <v>502</v>
      </c>
      <c r="I161" s="1" t="s">
        <v>22</v>
      </c>
      <c r="J161" s="1" t="s">
        <v>1897</v>
      </c>
      <c r="K161" s="1">
        <v>3672</v>
      </c>
      <c r="L161" s="1">
        <v>3698</v>
      </c>
      <c r="M161" s="1" t="s">
        <v>503</v>
      </c>
      <c r="N161" s="1" t="s">
        <v>504</v>
      </c>
      <c r="O161" s="1" t="s">
        <v>505</v>
      </c>
      <c r="P161" s="1" t="s">
        <v>503</v>
      </c>
      <c r="Q161" s="1">
        <v>2894</v>
      </c>
      <c r="R161" s="1">
        <v>2920</v>
      </c>
      <c r="S161" s="1" t="s">
        <v>506</v>
      </c>
      <c r="T161" s="1" t="s">
        <v>507</v>
      </c>
      <c r="U161" s="1">
        <v>1</v>
      </c>
      <c r="V161" s="1">
        <v>2</v>
      </c>
      <c r="W161" s="1">
        <v>1</v>
      </c>
      <c r="X161" s="4" t="b">
        <v>0</v>
      </c>
    </row>
    <row r="162" spans="1:24" ht="17" customHeight="1" x14ac:dyDescent="0.2">
      <c r="A162" s="1" t="s">
        <v>500</v>
      </c>
      <c r="B162" s="1" t="s">
        <v>500</v>
      </c>
      <c r="C162" s="1" t="s">
        <v>84</v>
      </c>
      <c r="D162" s="1">
        <v>530</v>
      </c>
      <c r="E162" s="1">
        <v>538</v>
      </c>
      <c r="G162" s="1" t="s">
        <v>502</v>
      </c>
      <c r="I162" s="1" t="s">
        <v>22</v>
      </c>
      <c r="J162" s="1" t="s">
        <v>1712</v>
      </c>
      <c r="K162" s="1">
        <v>3672</v>
      </c>
      <c r="L162" s="1">
        <v>3698</v>
      </c>
      <c r="M162" s="1" t="s">
        <v>1592</v>
      </c>
      <c r="N162" s="1" t="s">
        <v>1592</v>
      </c>
      <c r="O162" s="1" t="s">
        <v>1714</v>
      </c>
      <c r="P162" s="1" t="s">
        <v>1715</v>
      </c>
      <c r="Q162" s="1">
        <v>2894</v>
      </c>
      <c r="R162" s="1">
        <v>2920</v>
      </c>
      <c r="S162" s="1" t="s">
        <v>506</v>
      </c>
      <c r="T162" s="1" t="s">
        <v>507</v>
      </c>
      <c r="U162" s="1">
        <v>1</v>
      </c>
      <c r="V162" s="1">
        <v>2</v>
      </c>
      <c r="W162" s="1">
        <v>1</v>
      </c>
      <c r="X162" s="4" t="b">
        <v>0</v>
      </c>
    </row>
    <row r="163" spans="1:24" ht="17" customHeight="1" x14ac:dyDescent="0.2">
      <c r="A163" s="1" t="s">
        <v>905</v>
      </c>
      <c r="B163" s="1" t="s">
        <v>905</v>
      </c>
      <c r="C163" s="1" t="s">
        <v>84</v>
      </c>
      <c r="D163" s="1">
        <v>547</v>
      </c>
      <c r="E163" s="1">
        <v>556</v>
      </c>
      <c r="F163" s="1" t="s">
        <v>906</v>
      </c>
      <c r="G163" s="1" t="s">
        <v>907</v>
      </c>
      <c r="H163" s="1" t="s">
        <v>31</v>
      </c>
      <c r="I163" s="1" t="s">
        <v>22</v>
      </c>
      <c r="J163" s="1" t="s">
        <v>908</v>
      </c>
      <c r="K163" s="1">
        <v>3723</v>
      </c>
      <c r="L163" s="1">
        <v>3752</v>
      </c>
      <c r="M163" s="1" t="s">
        <v>909</v>
      </c>
      <c r="N163" s="1" t="s">
        <v>910</v>
      </c>
      <c r="O163" s="1" t="s">
        <v>911</v>
      </c>
      <c r="P163" s="1" t="s">
        <v>909</v>
      </c>
      <c r="Q163" s="1">
        <v>2945</v>
      </c>
      <c r="R163" s="1">
        <v>2974</v>
      </c>
      <c r="S163" s="1" t="s">
        <v>905</v>
      </c>
      <c r="T163" s="1" t="s">
        <v>905</v>
      </c>
      <c r="U163" s="1">
        <v>0</v>
      </c>
      <c r="V163" s="1">
        <v>0</v>
      </c>
      <c r="W163" s="1">
        <v>0</v>
      </c>
      <c r="X163" s="4" t="b">
        <v>1</v>
      </c>
    </row>
    <row r="164" spans="1:24" ht="17" customHeight="1" x14ac:dyDescent="0.2">
      <c r="A164" s="1" t="s">
        <v>1317</v>
      </c>
      <c r="B164" s="1" t="s">
        <v>1317</v>
      </c>
      <c r="C164" s="1" t="s">
        <v>84</v>
      </c>
      <c r="D164" s="1">
        <v>552</v>
      </c>
      <c r="E164" s="1">
        <v>561</v>
      </c>
      <c r="F164" s="1" t="s">
        <v>1318</v>
      </c>
      <c r="G164" s="1" t="s">
        <v>1319</v>
      </c>
      <c r="I164" s="1" t="s">
        <v>22</v>
      </c>
      <c r="J164" s="1" t="s">
        <v>1320</v>
      </c>
      <c r="K164" s="1">
        <v>3738</v>
      </c>
      <c r="L164" s="1">
        <v>3767</v>
      </c>
      <c r="M164" s="1" t="s">
        <v>1321</v>
      </c>
      <c r="N164" s="1" t="s">
        <v>1321</v>
      </c>
      <c r="O164" s="1" t="s">
        <v>1322</v>
      </c>
      <c r="P164" s="1" t="s">
        <v>1321</v>
      </c>
      <c r="Q164" s="1">
        <v>2960</v>
      </c>
      <c r="R164" s="1">
        <v>2989</v>
      </c>
      <c r="S164" s="1" t="s">
        <v>1323</v>
      </c>
      <c r="T164" s="1" t="s">
        <v>1323</v>
      </c>
      <c r="U164" s="1">
        <v>1</v>
      </c>
      <c r="V164" s="1">
        <v>1</v>
      </c>
      <c r="W164" s="1">
        <v>0</v>
      </c>
      <c r="X164" s="4" t="b">
        <v>0</v>
      </c>
    </row>
    <row r="165" spans="1:24" ht="17" customHeight="1" x14ac:dyDescent="0.2">
      <c r="A165" s="1" t="s">
        <v>340</v>
      </c>
      <c r="B165" s="1" t="s">
        <v>340</v>
      </c>
      <c r="C165" s="1" t="s">
        <v>84</v>
      </c>
      <c r="D165" s="1">
        <v>591</v>
      </c>
      <c r="E165" s="1">
        <v>600</v>
      </c>
      <c r="F165" s="1" t="s">
        <v>341</v>
      </c>
      <c r="G165" s="1" t="s">
        <v>342</v>
      </c>
      <c r="I165" s="1" t="s">
        <v>22</v>
      </c>
      <c r="J165" s="1" t="s">
        <v>166</v>
      </c>
      <c r="K165" s="1">
        <v>3855</v>
      </c>
      <c r="L165" s="1">
        <v>3884</v>
      </c>
      <c r="M165" s="1" t="s">
        <v>343</v>
      </c>
      <c r="N165" s="1" t="e">
        <v>#N/A</v>
      </c>
      <c r="O165" s="1" t="s">
        <v>344</v>
      </c>
      <c r="P165" s="1" t="s">
        <v>343</v>
      </c>
      <c r="Q165" s="1">
        <v>3077</v>
      </c>
      <c r="R165" s="1">
        <v>3106</v>
      </c>
      <c r="S165" s="1" t="s">
        <v>340</v>
      </c>
      <c r="T165" s="1" t="s">
        <v>340</v>
      </c>
      <c r="U165" s="1">
        <v>0</v>
      </c>
      <c r="V165" s="1">
        <v>0</v>
      </c>
      <c r="W165" s="1">
        <v>0</v>
      </c>
      <c r="X165" s="4" t="b">
        <v>1</v>
      </c>
    </row>
    <row r="166" spans="1:24" ht="17" customHeight="1" x14ac:dyDescent="0.2">
      <c r="A166" s="1" t="s">
        <v>1639</v>
      </c>
      <c r="B166" s="1" t="s">
        <v>1639</v>
      </c>
      <c r="C166" s="1" t="s">
        <v>84</v>
      </c>
      <c r="D166" s="1">
        <v>593</v>
      </c>
      <c r="E166" s="1">
        <v>600</v>
      </c>
      <c r="G166" s="1" t="s">
        <v>1640</v>
      </c>
      <c r="I166" s="1" t="s">
        <v>22</v>
      </c>
      <c r="J166" s="1" t="s">
        <v>166</v>
      </c>
      <c r="K166" s="1">
        <v>3861</v>
      </c>
      <c r="L166" s="1">
        <v>3884</v>
      </c>
      <c r="M166" s="1" t="s">
        <v>1641</v>
      </c>
      <c r="N166" s="1" t="s">
        <v>1641</v>
      </c>
      <c r="O166" s="1" t="s">
        <v>1531</v>
      </c>
      <c r="P166" s="1" t="s">
        <v>1641</v>
      </c>
      <c r="Q166" s="1">
        <v>3083</v>
      </c>
      <c r="R166" s="1">
        <v>3106</v>
      </c>
      <c r="S166" s="1" t="s">
        <v>1639</v>
      </c>
      <c r="T166" s="1" t="s">
        <v>1639</v>
      </c>
      <c r="W166" s="1">
        <v>0</v>
      </c>
      <c r="X166" s="4" t="b">
        <v>1</v>
      </c>
    </row>
    <row r="167" spans="1:24" ht="17" customHeight="1" x14ac:dyDescent="0.2">
      <c r="A167" s="1" t="s">
        <v>227</v>
      </c>
      <c r="B167" s="1" t="s">
        <v>227</v>
      </c>
      <c r="C167" s="1" t="s">
        <v>84</v>
      </c>
      <c r="D167" s="1">
        <v>593</v>
      </c>
      <c r="E167" s="1">
        <v>603</v>
      </c>
      <c r="F167" s="1" t="s">
        <v>228</v>
      </c>
      <c r="G167" s="1" t="s">
        <v>229</v>
      </c>
      <c r="I167" s="1" t="s">
        <v>22</v>
      </c>
      <c r="J167" s="1" t="s">
        <v>1850</v>
      </c>
      <c r="K167" s="1">
        <v>3861</v>
      </c>
      <c r="L167" s="1">
        <v>3893</v>
      </c>
      <c r="M167" s="1" t="s">
        <v>230</v>
      </c>
      <c r="N167" s="1" t="e">
        <v>#N/A</v>
      </c>
      <c r="O167" s="1" t="s">
        <v>231</v>
      </c>
      <c r="P167" s="1" t="s">
        <v>230</v>
      </c>
      <c r="Q167" s="1">
        <v>3083</v>
      </c>
      <c r="R167" s="1">
        <v>3115</v>
      </c>
      <c r="S167" s="1" t="s">
        <v>227</v>
      </c>
      <c r="T167" s="1" t="s">
        <v>227</v>
      </c>
      <c r="U167" s="1">
        <v>0</v>
      </c>
      <c r="V167" s="1">
        <v>0</v>
      </c>
      <c r="W167" s="1">
        <v>0</v>
      </c>
      <c r="X167" s="4" t="b">
        <v>1</v>
      </c>
    </row>
    <row r="168" spans="1:24" ht="17" customHeight="1" x14ac:dyDescent="0.2">
      <c r="A168" s="1" t="s">
        <v>227</v>
      </c>
      <c r="B168" s="1" t="s">
        <v>227</v>
      </c>
      <c r="C168" s="1" t="s">
        <v>84</v>
      </c>
      <c r="D168" s="1">
        <v>593</v>
      </c>
      <c r="E168" s="1">
        <v>603</v>
      </c>
      <c r="G168" s="1" t="s">
        <v>229</v>
      </c>
      <c r="I168" s="1" t="s">
        <v>22</v>
      </c>
      <c r="J168" s="1" t="s">
        <v>1851</v>
      </c>
      <c r="K168" s="1">
        <v>3861</v>
      </c>
      <c r="L168" s="1">
        <v>3893</v>
      </c>
      <c r="M168" s="1" t="s">
        <v>1703</v>
      </c>
      <c r="N168" s="1" t="e">
        <v>#N/A</v>
      </c>
      <c r="O168" s="1" t="s">
        <v>1704</v>
      </c>
      <c r="P168" s="1" t="s">
        <v>1703</v>
      </c>
      <c r="Q168" s="1">
        <v>3083</v>
      </c>
      <c r="R168" s="1">
        <v>3115</v>
      </c>
      <c r="S168" s="1" t="s">
        <v>227</v>
      </c>
      <c r="T168" s="1" t="s">
        <v>227</v>
      </c>
      <c r="U168" s="1">
        <v>0</v>
      </c>
      <c r="V168" s="1">
        <v>0</v>
      </c>
      <c r="W168" s="1">
        <v>0</v>
      </c>
      <c r="X168" s="4" t="b">
        <v>1</v>
      </c>
    </row>
    <row r="169" spans="1:24" ht="17" customHeight="1" x14ac:dyDescent="0.2">
      <c r="A169" s="1" t="s">
        <v>238</v>
      </c>
      <c r="B169" s="1" t="s">
        <v>238</v>
      </c>
      <c r="C169" s="1" t="s">
        <v>84</v>
      </c>
      <c r="D169" s="1">
        <v>604</v>
      </c>
      <c r="E169" s="1">
        <v>612</v>
      </c>
      <c r="F169" s="1" t="s">
        <v>239</v>
      </c>
      <c r="G169" s="1" t="s">
        <v>240</v>
      </c>
      <c r="I169" s="1" t="s">
        <v>22</v>
      </c>
      <c r="J169" s="1" t="s">
        <v>241</v>
      </c>
      <c r="K169" s="1">
        <v>3894</v>
      </c>
      <c r="L169" s="1">
        <v>3920</v>
      </c>
      <c r="M169" s="1" t="s">
        <v>242</v>
      </c>
      <c r="N169" s="1" t="e">
        <v>#N/A</v>
      </c>
      <c r="O169" s="1" t="s">
        <v>243</v>
      </c>
      <c r="P169" s="1" t="s">
        <v>242</v>
      </c>
      <c r="Q169" s="1">
        <v>3116</v>
      </c>
      <c r="R169" s="1">
        <v>3142</v>
      </c>
      <c r="S169" s="1" t="s">
        <v>238</v>
      </c>
      <c r="T169" s="1" t="s">
        <v>238</v>
      </c>
      <c r="U169" s="1">
        <v>0</v>
      </c>
      <c r="V169" s="1">
        <v>0</v>
      </c>
      <c r="W169" s="1">
        <v>0</v>
      </c>
      <c r="X169" s="4" t="b">
        <v>1</v>
      </c>
    </row>
    <row r="170" spans="1:24" ht="17" customHeight="1" x14ac:dyDescent="0.2">
      <c r="A170" s="1" t="s">
        <v>625</v>
      </c>
      <c r="B170" s="1" t="s">
        <v>625</v>
      </c>
      <c r="C170" s="1" t="s">
        <v>84</v>
      </c>
      <c r="D170" s="1">
        <v>650</v>
      </c>
      <c r="E170" s="1">
        <v>658</v>
      </c>
      <c r="F170" s="1" t="s">
        <v>626</v>
      </c>
      <c r="G170" s="1" t="s">
        <v>627</v>
      </c>
      <c r="I170" s="1" t="s">
        <v>22</v>
      </c>
      <c r="J170" s="1" t="s">
        <v>32</v>
      </c>
      <c r="K170" s="1">
        <v>4032</v>
      </c>
      <c r="L170" s="1">
        <v>4058</v>
      </c>
      <c r="M170" s="1" t="s">
        <v>628</v>
      </c>
      <c r="N170" s="1" t="s">
        <v>629</v>
      </c>
      <c r="O170" s="1" t="s">
        <v>630</v>
      </c>
      <c r="P170" s="1" t="s">
        <v>628</v>
      </c>
      <c r="Q170" s="1">
        <v>3254</v>
      </c>
      <c r="R170" s="1">
        <v>3280</v>
      </c>
      <c r="S170" s="1" t="s">
        <v>625</v>
      </c>
      <c r="T170" s="1" t="s">
        <v>625</v>
      </c>
      <c r="U170" s="1">
        <v>0</v>
      </c>
      <c r="V170" s="1">
        <v>0</v>
      </c>
      <c r="W170" s="1">
        <v>0</v>
      </c>
      <c r="X170" s="4" t="b">
        <v>1</v>
      </c>
    </row>
    <row r="171" spans="1:24" ht="17" customHeight="1" x14ac:dyDescent="0.2">
      <c r="A171" s="1" t="s">
        <v>1642</v>
      </c>
      <c r="B171" s="1" t="s">
        <v>1642</v>
      </c>
      <c r="C171" s="1" t="s">
        <v>84</v>
      </c>
      <c r="D171" s="1">
        <v>651</v>
      </c>
      <c r="E171" s="1">
        <v>658</v>
      </c>
      <c r="G171" s="1" t="s">
        <v>1643</v>
      </c>
      <c r="I171" s="1" t="s">
        <v>22</v>
      </c>
      <c r="J171" s="1" t="s">
        <v>1852</v>
      </c>
      <c r="K171" s="1">
        <v>4035</v>
      </c>
      <c r="L171" s="1">
        <v>4058</v>
      </c>
      <c r="M171" s="1" t="s">
        <v>1644</v>
      </c>
      <c r="N171" s="1" t="s">
        <v>1644</v>
      </c>
      <c r="O171" s="1" t="s">
        <v>1531</v>
      </c>
      <c r="P171" s="1" t="s">
        <v>1644</v>
      </c>
      <c r="Q171" s="1">
        <v>3257</v>
      </c>
      <c r="R171" s="1">
        <v>3280</v>
      </c>
      <c r="S171" s="1" t="s">
        <v>1642</v>
      </c>
      <c r="T171" s="1" t="s">
        <v>1642</v>
      </c>
      <c r="W171" s="1">
        <v>0</v>
      </c>
      <c r="X171" s="4" t="b">
        <v>1</v>
      </c>
    </row>
    <row r="172" spans="1:24" ht="17" customHeight="1" x14ac:dyDescent="0.2">
      <c r="A172" s="1" t="s">
        <v>1410</v>
      </c>
      <c r="B172" s="1" t="s">
        <v>1410</v>
      </c>
      <c r="C172" s="1" t="s">
        <v>84</v>
      </c>
      <c r="D172" s="1">
        <v>651</v>
      </c>
      <c r="E172" s="1">
        <v>660</v>
      </c>
      <c r="F172" s="1" t="s">
        <v>1411</v>
      </c>
      <c r="G172" s="1" t="s">
        <v>1412</v>
      </c>
      <c r="I172" s="1" t="s">
        <v>22</v>
      </c>
      <c r="J172" s="1" t="s">
        <v>273</v>
      </c>
      <c r="K172" s="1">
        <v>4035</v>
      </c>
      <c r="L172" s="1">
        <v>4064</v>
      </c>
      <c r="M172" s="1" t="s">
        <v>1413</v>
      </c>
      <c r="N172" s="1" t="s">
        <v>1413</v>
      </c>
      <c r="O172" s="1" t="s">
        <v>1414</v>
      </c>
      <c r="P172" s="1" t="s">
        <v>1413</v>
      </c>
      <c r="Q172" s="1">
        <v>3257</v>
      </c>
      <c r="R172" s="1">
        <v>3286</v>
      </c>
      <c r="S172" s="1" t="s">
        <v>1410</v>
      </c>
      <c r="T172" s="1" t="s">
        <v>1410</v>
      </c>
      <c r="U172" s="1">
        <v>0</v>
      </c>
      <c r="V172" s="1">
        <v>0</v>
      </c>
      <c r="W172" s="1">
        <v>0</v>
      </c>
      <c r="X172" s="4" t="b">
        <v>1</v>
      </c>
    </row>
    <row r="173" spans="1:24" ht="17" customHeight="1" x14ac:dyDescent="0.2">
      <c r="A173" s="1" t="s">
        <v>949</v>
      </c>
      <c r="B173" s="1" t="s">
        <v>949</v>
      </c>
      <c r="C173" s="1" t="s">
        <v>84</v>
      </c>
      <c r="D173" s="1">
        <v>675</v>
      </c>
      <c r="E173" s="1">
        <v>683</v>
      </c>
      <c r="F173" s="1" t="s">
        <v>950</v>
      </c>
      <c r="G173" s="1" t="s">
        <v>951</v>
      </c>
      <c r="H173" s="1" t="s">
        <v>31</v>
      </c>
      <c r="I173" s="1" t="s">
        <v>22</v>
      </c>
      <c r="J173" s="1" t="s">
        <v>40</v>
      </c>
      <c r="K173" s="1">
        <v>4107</v>
      </c>
      <c r="L173" s="1">
        <v>4133</v>
      </c>
      <c r="M173" s="1" t="s">
        <v>952</v>
      </c>
      <c r="N173" s="1" t="s">
        <v>953</v>
      </c>
      <c r="O173" s="1" t="s">
        <v>954</v>
      </c>
      <c r="P173" s="1" t="s">
        <v>952</v>
      </c>
      <c r="Q173" s="1">
        <v>3329</v>
      </c>
      <c r="R173" s="1">
        <v>3355</v>
      </c>
      <c r="S173" s="1" t="s">
        <v>949</v>
      </c>
      <c r="T173" s="1" t="s">
        <v>949</v>
      </c>
      <c r="U173" s="1">
        <v>0</v>
      </c>
      <c r="V173" s="1">
        <v>0</v>
      </c>
      <c r="W173" s="1">
        <v>0</v>
      </c>
      <c r="X173" s="4" t="b">
        <v>1</v>
      </c>
    </row>
    <row r="174" spans="1:24" ht="17" customHeight="1" x14ac:dyDescent="0.2">
      <c r="A174" s="1" t="s">
        <v>1786</v>
      </c>
      <c r="B174" s="1" t="s">
        <v>1786</v>
      </c>
      <c r="C174" s="1" t="s">
        <v>84</v>
      </c>
      <c r="D174" s="1">
        <v>705</v>
      </c>
      <c r="E174" s="1">
        <v>714</v>
      </c>
      <c r="F174" s="1" t="s">
        <v>1779</v>
      </c>
      <c r="G174" s="1" t="s">
        <v>1645</v>
      </c>
      <c r="I174" s="1" t="s">
        <v>22</v>
      </c>
      <c r="J174" s="1" t="s">
        <v>94</v>
      </c>
      <c r="K174" s="1">
        <v>4197</v>
      </c>
      <c r="L174" s="1">
        <v>4226</v>
      </c>
      <c r="M174" s="1" t="s">
        <v>1646</v>
      </c>
      <c r="N174" s="1" t="s">
        <v>1646</v>
      </c>
      <c r="O174" s="1" t="s">
        <v>1531</v>
      </c>
      <c r="P174" s="1" t="s">
        <v>1646</v>
      </c>
      <c r="Q174" s="1">
        <v>3419</v>
      </c>
      <c r="R174" s="1">
        <v>3448</v>
      </c>
      <c r="S174" s="1" t="s">
        <v>1786</v>
      </c>
      <c r="T174" s="1" t="s">
        <v>1786</v>
      </c>
      <c r="W174" s="1">
        <v>0</v>
      </c>
      <c r="X174" s="4" t="b">
        <v>1</v>
      </c>
    </row>
    <row r="175" spans="1:24" ht="17" customHeight="1" x14ac:dyDescent="0.2">
      <c r="A175" s="1" t="s">
        <v>795</v>
      </c>
      <c r="B175" s="1" t="s">
        <v>795</v>
      </c>
      <c r="C175" s="1" t="s">
        <v>84</v>
      </c>
      <c r="D175" s="1">
        <v>715</v>
      </c>
      <c r="E175" s="1">
        <v>723</v>
      </c>
      <c r="F175" s="1" t="s">
        <v>796</v>
      </c>
      <c r="G175" s="1" t="s">
        <v>797</v>
      </c>
      <c r="I175" s="1" t="s">
        <v>22</v>
      </c>
      <c r="J175" s="1" t="s">
        <v>1843</v>
      </c>
      <c r="K175" s="1">
        <v>4227</v>
      </c>
      <c r="L175" s="1">
        <v>4253</v>
      </c>
      <c r="M175" s="1" t="s">
        <v>798</v>
      </c>
      <c r="N175" s="1" t="s">
        <v>798</v>
      </c>
      <c r="O175" s="1" t="s">
        <v>799</v>
      </c>
      <c r="P175" s="1" t="s">
        <v>798</v>
      </c>
      <c r="Q175" s="1">
        <v>3449</v>
      </c>
      <c r="R175" s="1">
        <v>3475</v>
      </c>
      <c r="S175" s="1" t="s">
        <v>795</v>
      </c>
      <c r="T175" s="1" t="s">
        <v>795</v>
      </c>
      <c r="U175" s="1">
        <v>0</v>
      </c>
      <c r="V175" s="1">
        <v>0</v>
      </c>
      <c r="W175" s="1">
        <v>0</v>
      </c>
      <c r="X175" s="4" t="b">
        <v>1</v>
      </c>
    </row>
    <row r="176" spans="1:24" ht="17" customHeight="1" x14ac:dyDescent="0.2">
      <c r="A176" s="1" t="s">
        <v>819</v>
      </c>
      <c r="B176" s="1" t="s">
        <v>819</v>
      </c>
      <c r="C176" s="1" t="s">
        <v>84</v>
      </c>
      <c r="D176" s="1">
        <v>743</v>
      </c>
      <c r="E176" s="1">
        <v>751</v>
      </c>
      <c r="F176" s="1" t="s">
        <v>820</v>
      </c>
      <c r="G176" s="1" t="s">
        <v>821</v>
      </c>
      <c r="I176" s="1" t="s">
        <v>22</v>
      </c>
      <c r="J176" s="1" t="s">
        <v>822</v>
      </c>
      <c r="K176" s="1">
        <v>4311</v>
      </c>
      <c r="L176" s="1">
        <v>4337</v>
      </c>
      <c r="M176" s="1" t="s">
        <v>823</v>
      </c>
      <c r="N176" s="1" t="e">
        <v>#N/A</v>
      </c>
      <c r="O176" s="1" t="s">
        <v>824</v>
      </c>
      <c r="P176" s="1" t="s">
        <v>823</v>
      </c>
      <c r="Q176" s="1">
        <v>3533</v>
      </c>
      <c r="R176" s="1">
        <v>3559</v>
      </c>
      <c r="S176" s="1" t="s">
        <v>825</v>
      </c>
      <c r="T176" s="1" t="s">
        <v>825</v>
      </c>
      <c r="U176" s="1">
        <v>1</v>
      </c>
      <c r="V176" s="1">
        <v>1</v>
      </c>
      <c r="W176" s="1">
        <v>0</v>
      </c>
      <c r="X176" s="4" t="b">
        <v>0</v>
      </c>
    </row>
    <row r="177" spans="1:24" ht="17" customHeight="1" x14ac:dyDescent="0.2">
      <c r="A177" s="1" t="s">
        <v>825</v>
      </c>
      <c r="B177" s="1" t="s">
        <v>825</v>
      </c>
      <c r="C177" s="1" t="s">
        <v>84</v>
      </c>
      <c r="D177" s="1">
        <v>743</v>
      </c>
      <c r="E177" s="1">
        <v>751</v>
      </c>
      <c r="G177" s="1" t="s">
        <v>821</v>
      </c>
      <c r="I177" s="1" t="s">
        <v>22</v>
      </c>
      <c r="J177" s="1" t="s">
        <v>1841</v>
      </c>
      <c r="K177" s="1">
        <v>4311</v>
      </c>
      <c r="L177" s="1">
        <v>4337</v>
      </c>
      <c r="M177" s="1" t="s">
        <v>1580</v>
      </c>
      <c r="N177" s="1" t="s">
        <v>1580</v>
      </c>
      <c r="O177" s="1" t="s">
        <v>1531</v>
      </c>
      <c r="P177" s="1" t="s">
        <v>1580</v>
      </c>
      <c r="Q177" s="1">
        <v>3533</v>
      </c>
      <c r="R177" s="1">
        <v>3559</v>
      </c>
      <c r="S177" s="1" t="s">
        <v>825</v>
      </c>
      <c r="T177" s="1" t="s">
        <v>825</v>
      </c>
      <c r="U177" s="1">
        <v>1</v>
      </c>
      <c r="V177" s="1">
        <v>1</v>
      </c>
      <c r="W177" s="1">
        <v>0</v>
      </c>
      <c r="X177" s="4" t="b">
        <v>1</v>
      </c>
    </row>
    <row r="178" spans="1:24" ht="17" customHeight="1" x14ac:dyDescent="0.2">
      <c r="A178" s="1" t="s">
        <v>1254</v>
      </c>
      <c r="B178" s="1" t="s">
        <v>1254</v>
      </c>
      <c r="C178" s="1" t="s">
        <v>84</v>
      </c>
      <c r="D178" s="1">
        <v>781</v>
      </c>
      <c r="E178" s="1">
        <v>789</v>
      </c>
      <c r="F178" s="1" t="s">
        <v>1255</v>
      </c>
      <c r="G178" s="1" t="s">
        <v>1256</v>
      </c>
      <c r="I178" s="1" t="s">
        <v>22</v>
      </c>
      <c r="J178" s="1" t="s">
        <v>477</v>
      </c>
      <c r="K178" s="1">
        <v>4425</v>
      </c>
      <c r="L178" s="1">
        <v>4451</v>
      </c>
      <c r="M178" s="1" t="s">
        <v>1257</v>
      </c>
      <c r="N178" s="1" t="s">
        <v>1257</v>
      </c>
      <c r="O178" s="1" t="s">
        <v>1258</v>
      </c>
      <c r="P178" s="1" t="s">
        <v>1257</v>
      </c>
      <c r="Q178" s="1">
        <v>3647</v>
      </c>
      <c r="R178" s="1">
        <v>3673</v>
      </c>
      <c r="S178" s="1" t="s">
        <v>1254</v>
      </c>
      <c r="T178" s="1" t="s">
        <v>1259</v>
      </c>
      <c r="U178" s="1">
        <v>0</v>
      </c>
      <c r="V178" s="1">
        <v>1</v>
      </c>
      <c r="W178" s="1">
        <v>1</v>
      </c>
      <c r="X178" s="4" t="b">
        <v>0</v>
      </c>
    </row>
    <row r="179" spans="1:24" ht="17" customHeight="1" x14ac:dyDescent="0.2">
      <c r="A179" s="1" t="s">
        <v>495</v>
      </c>
      <c r="B179" s="1" t="s">
        <v>495</v>
      </c>
      <c r="C179" s="1" t="s">
        <v>84</v>
      </c>
      <c r="D179" s="1">
        <v>793</v>
      </c>
      <c r="E179" s="1">
        <v>801</v>
      </c>
      <c r="F179" s="1" t="s">
        <v>496</v>
      </c>
      <c r="G179" s="1" t="s">
        <v>497</v>
      </c>
      <c r="H179" s="1" t="s">
        <v>31</v>
      </c>
      <c r="I179" s="1" t="s">
        <v>22</v>
      </c>
      <c r="J179" s="1" t="s">
        <v>289</v>
      </c>
      <c r="K179" s="1">
        <v>4461</v>
      </c>
      <c r="L179" s="1">
        <v>4487</v>
      </c>
      <c r="M179" s="1" t="s">
        <v>498</v>
      </c>
      <c r="N179" s="1" t="e">
        <v>#N/A</v>
      </c>
      <c r="O179" s="1" t="s">
        <v>499</v>
      </c>
      <c r="P179" s="1" t="s">
        <v>498</v>
      </c>
      <c r="Q179" s="1">
        <v>3683</v>
      </c>
      <c r="R179" s="1">
        <v>3709</v>
      </c>
      <c r="S179" s="1" t="s">
        <v>495</v>
      </c>
      <c r="T179" s="1" t="s">
        <v>495</v>
      </c>
      <c r="U179" s="1">
        <v>0</v>
      </c>
      <c r="V179" s="1">
        <v>0</v>
      </c>
      <c r="W179" s="1">
        <v>0</v>
      </c>
      <c r="X179" s="4" t="b">
        <v>1</v>
      </c>
    </row>
    <row r="180" spans="1:24" ht="17" customHeight="1" x14ac:dyDescent="0.2">
      <c r="A180" s="1" t="s">
        <v>508</v>
      </c>
      <c r="B180" s="1" t="s">
        <v>508</v>
      </c>
      <c r="C180" s="1" t="s">
        <v>84</v>
      </c>
      <c r="D180" s="1">
        <v>799</v>
      </c>
      <c r="E180" s="1">
        <v>808</v>
      </c>
      <c r="F180" s="1" t="s">
        <v>509</v>
      </c>
      <c r="G180" s="1" t="s">
        <v>510</v>
      </c>
      <c r="H180" s="1" t="s">
        <v>31</v>
      </c>
      <c r="I180" s="1" t="s">
        <v>22</v>
      </c>
      <c r="J180" s="1" t="s">
        <v>79</v>
      </c>
      <c r="K180" s="1">
        <v>4479</v>
      </c>
      <c r="L180" s="1">
        <v>4508</v>
      </c>
      <c r="M180" s="1" t="s">
        <v>511</v>
      </c>
      <c r="N180" s="1" t="e">
        <v>#N/A</v>
      </c>
      <c r="O180" s="1" t="s">
        <v>512</v>
      </c>
      <c r="P180" s="1" t="s">
        <v>511</v>
      </c>
      <c r="Q180" s="1">
        <v>3701</v>
      </c>
      <c r="R180" s="1">
        <v>3730</v>
      </c>
      <c r="S180" s="1" t="s">
        <v>508</v>
      </c>
      <c r="T180" s="1" t="s">
        <v>508</v>
      </c>
      <c r="U180" s="1">
        <v>0</v>
      </c>
      <c r="V180" s="1">
        <v>0</v>
      </c>
      <c r="W180" s="1">
        <v>0</v>
      </c>
      <c r="X180" s="4" t="b">
        <v>1</v>
      </c>
    </row>
    <row r="181" spans="1:24" ht="17" customHeight="1" x14ac:dyDescent="0.2">
      <c r="A181" s="1" t="s">
        <v>480</v>
      </c>
      <c r="B181" s="1" t="s">
        <v>480</v>
      </c>
      <c r="C181" s="1" t="s">
        <v>84</v>
      </c>
      <c r="D181" s="1">
        <v>829</v>
      </c>
      <c r="E181" s="1">
        <v>836</v>
      </c>
      <c r="F181" s="1" t="s">
        <v>481</v>
      </c>
      <c r="G181" s="1" t="s">
        <v>482</v>
      </c>
      <c r="I181" s="1" t="s">
        <v>22</v>
      </c>
      <c r="J181" s="1" t="s">
        <v>1836</v>
      </c>
      <c r="K181" s="1">
        <v>4569</v>
      </c>
      <c r="L181" s="1">
        <v>4592</v>
      </c>
      <c r="M181" s="1" t="s">
        <v>483</v>
      </c>
      <c r="N181" s="1" t="e">
        <v>#N/A</v>
      </c>
      <c r="O181" s="1" t="s">
        <v>484</v>
      </c>
      <c r="P181" s="1" t="s">
        <v>483</v>
      </c>
      <c r="Q181" s="1">
        <v>3791</v>
      </c>
      <c r="R181" s="1">
        <v>3814</v>
      </c>
      <c r="S181" s="1" t="s">
        <v>480</v>
      </c>
      <c r="T181" s="1" t="s">
        <v>480</v>
      </c>
      <c r="U181" s="1">
        <v>0</v>
      </c>
      <c r="V181" s="1">
        <v>0</v>
      </c>
      <c r="W181" s="1">
        <v>0</v>
      </c>
      <c r="X181" s="4" t="b">
        <v>1</v>
      </c>
    </row>
    <row r="182" spans="1:24" ht="17" customHeight="1" x14ac:dyDescent="0.2">
      <c r="A182" s="1" t="s">
        <v>1647</v>
      </c>
      <c r="B182" s="1" t="s">
        <v>1647</v>
      </c>
      <c r="C182" s="1" t="s">
        <v>84</v>
      </c>
      <c r="D182" s="1">
        <v>829</v>
      </c>
      <c r="E182" s="1">
        <v>837</v>
      </c>
      <c r="G182" s="1" t="s">
        <v>1648</v>
      </c>
      <c r="I182" s="1" t="s">
        <v>22</v>
      </c>
      <c r="J182" s="1" t="s">
        <v>1836</v>
      </c>
      <c r="K182" s="1">
        <v>4569</v>
      </c>
      <c r="L182" s="1">
        <v>4595</v>
      </c>
      <c r="M182" s="1" t="s">
        <v>1649</v>
      </c>
      <c r="N182" s="1" t="s">
        <v>1649</v>
      </c>
      <c r="O182" s="1" t="s">
        <v>1531</v>
      </c>
      <c r="P182" s="1" t="s">
        <v>1649</v>
      </c>
      <c r="Q182" s="1">
        <v>3791</v>
      </c>
      <c r="R182" s="1">
        <v>3817</v>
      </c>
      <c r="S182" s="1" t="s">
        <v>1647</v>
      </c>
      <c r="T182" s="1" t="s">
        <v>1647</v>
      </c>
      <c r="W182" s="1">
        <v>0</v>
      </c>
      <c r="X182" s="4" t="b">
        <v>1</v>
      </c>
    </row>
    <row r="183" spans="1:24" ht="17" customHeight="1" x14ac:dyDescent="0.2">
      <c r="A183" s="1" t="s">
        <v>1225</v>
      </c>
      <c r="B183" s="1" t="s">
        <v>1225</v>
      </c>
      <c r="C183" s="1" t="s">
        <v>84</v>
      </c>
      <c r="D183" s="1">
        <v>838</v>
      </c>
      <c r="E183" s="1">
        <v>847</v>
      </c>
      <c r="F183" s="1" t="s">
        <v>1226</v>
      </c>
      <c r="G183" s="1" t="s">
        <v>1227</v>
      </c>
      <c r="I183" s="1" t="s">
        <v>22</v>
      </c>
      <c r="J183" s="1" t="s">
        <v>1830</v>
      </c>
      <c r="K183" s="1">
        <v>4596</v>
      </c>
      <c r="L183" s="1">
        <v>4625</v>
      </c>
      <c r="M183" s="1" t="s">
        <v>1228</v>
      </c>
      <c r="N183" s="1" t="s">
        <v>1228</v>
      </c>
      <c r="O183" s="1" t="s">
        <v>1229</v>
      </c>
      <c r="P183" s="1" t="s">
        <v>1228</v>
      </c>
      <c r="Q183" s="1">
        <v>3818</v>
      </c>
      <c r="R183" s="1">
        <v>3847</v>
      </c>
      <c r="S183" s="1" t="s">
        <v>1225</v>
      </c>
      <c r="T183" s="1" t="s">
        <v>1230</v>
      </c>
      <c r="U183" s="1">
        <v>0</v>
      </c>
      <c r="V183" s="1">
        <v>3</v>
      </c>
      <c r="W183" s="1">
        <v>3</v>
      </c>
      <c r="X183" s="4" t="b">
        <v>0</v>
      </c>
    </row>
    <row r="184" spans="1:24" ht="17" customHeight="1" x14ac:dyDescent="0.2">
      <c r="A184" s="1" t="s">
        <v>562</v>
      </c>
      <c r="B184" s="1" t="s">
        <v>562</v>
      </c>
      <c r="C184" s="1" t="s">
        <v>84</v>
      </c>
      <c r="D184" s="1">
        <v>850</v>
      </c>
      <c r="E184" s="1">
        <v>858</v>
      </c>
      <c r="F184" s="1" t="s">
        <v>563</v>
      </c>
      <c r="G184" s="1" t="s">
        <v>564</v>
      </c>
      <c r="I184" s="1" t="s">
        <v>22</v>
      </c>
      <c r="J184" s="1" t="s">
        <v>273</v>
      </c>
      <c r="K184" s="1">
        <v>4632</v>
      </c>
      <c r="L184" s="1">
        <v>4658</v>
      </c>
      <c r="M184" s="1" t="s">
        <v>565</v>
      </c>
      <c r="N184" s="1" t="s">
        <v>565</v>
      </c>
      <c r="O184" s="1" t="s">
        <v>566</v>
      </c>
      <c r="P184" s="1" t="s">
        <v>565</v>
      </c>
      <c r="Q184" s="1">
        <v>3854</v>
      </c>
      <c r="R184" s="1">
        <v>3880</v>
      </c>
      <c r="S184" s="1" t="s">
        <v>567</v>
      </c>
      <c r="T184" s="1" t="s">
        <v>567</v>
      </c>
      <c r="U184" s="1">
        <v>1</v>
      </c>
      <c r="V184" s="1">
        <v>1</v>
      </c>
      <c r="W184" s="1">
        <v>0</v>
      </c>
      <c r="X184" s="4" t="b">
        <v>0</v>
      </c>
    </row>
    <row r="185" spans="1:24" ht="17" customHeight="1" x14ac:dyDescent="0.2">
      <c r="A185" s="1" t="s">
        <v>1396</v>
      </c>
      <c r="B185" s="1" t="s">
        <v>1396</v>
      </c>
      <c r="C185" s="1" t="s">
        <v>84</v>
      </c>
      <c r="D185" s="1">
        <v>880</v>
      </c>
      <c r="E185" s="1">
        <v>887</v>
      </c>
      <c r="F185" s="1" t="s">
        <v>1397</v>
      </c>
      <c r="G185" s="1" t="s">
        <v>1398</v>
      </c>
      <c r="I185" s="1" t="s">
        <v>22</v>
      </c>
      <c r="J185" s="1" t="s">
        <v>1835</v>
      </c>
      <c r="K185" s="1">
        <v>4722</v>
      </c>
      <c r="L185" s="1">
        <v>4745</v>
      </c>
      <c r="M185" s="1" t="s">
        <v>1399</v>
      </c>
      <c r="N185" s="1" t="s">
        <v>1399</v>
      </c>
      <c r="O185" s="1" t="s">
        <v>26</v>
      </c>
      <c r="P185" s="1" t="s">
        <v>1399</v>
      </c>
      <c r="Q185" s="1">
        <v>3944</v>
      </c>
      <c r="R185" s="1">
        <v>3967</v>
      </c>
      <c r="S185" s="1" t="s">
        <v>1396</v>
      </c>
      <c r="T185" s="1" t="s">
        <v>1396</v>
      </c>
      <c r="U185" s="1">
        <v>0</v>
      </c>
      <c r="V185" s="1">
        <v>0</v>
      </c>
      <c r="W185" s="1">
        <v>0</v>
      </c>
      <c r="X185" s="4" t="b">
        <v>1</v>
      </c>
    </row>
    <row r="186" spans="1:24" ht="17" customHeight="1" x14ac:dyDescent="0.2">
      <c r="A186" s="1" t="s">
        <v>754</v>
      </c>
      <c r="B186" s="1" t="s">
        <v>754</v>
      </c>
      <c r="C186" s="1" t="s">
        <v>84</v>
      </c>
      <c r="D186" s="1">
        <v>888</v>
      </c>
      <c r="E186" s="1">
        <v>896</v>
      </c>
      <c r="F186" s="1" t="s">
        <v>755</v>
      </c>
      <c r="G186" s="1" t="s">
        <v>756</v>
      </c>
      <c r="I186" s="1" t="s">
        <v>22</v>
      </c>
      <c r="J186" s="1" t="s">
        <v>124</v>
      </c>
      <c r="K186" s="1">
        <v>4746</v>
      </c>
      <c r="L186" s="1">
        <v>4772</v>
      </c>
      <c r="M186" s="1" t="s">
        <v>757</v>
      </c>
      <c r="N186" s="1" t="s">
        <v>758</v>
      </c>
      <c r="O186" s="1" t="s">
        <v>26</v>
      </c>
      <c r="P186" s="1" t="s">
        <v>757</v>
      </c>
      <c r="Q186" s="1">
        <v>3968</v>
      </c>
      <c r="R186" s="1">
        <v>3994</v>
      </c>
      <c r="S186" s="1" t="s">
        <v>754</v>
      </c>
      <c r="T186" s="1" t="s">
        <v>754</v>
      </c>
      <c r="U186" s="1">
        <v>0</v>
      </c>
      <c r="V186" s="1">
        <v>0</v>
      </c>
      <c r="W186" s="1">
        <v>0</v>
      </c>
      <c r="X186" s="4" t="b">
        <v>1</v>
      </c>
    </row>
    <row r="187" spans="1:24" ht="17" customHeight="1" x14ac:dyDescent="0.2">
      <c r="A187" s="1" t="s">
        <v>117</v>
      </c>
      <c r="B187" s="1" t="s">
        <v>117</v>
      </c>
      <c r="C187" s="1" t="s">
        <v>84</v>
      </c>
      <c r="D187" s="1">
        <v>894</v>
      </c>
      <c r="E187" s="1">
        <v>903</v>
      </c>
      <c r="F187" s="1" t="s">
        <v>118</v>
      </c>
      <c r="G187" s="1" t="s">
        <v>119</v>
      </c>
      <c r="H187" s="1" t="s">
        <v>31</v>
      </c>
      <c r="I187" s="1" t="s">
        <v>22</v>
      </c>
      <c r="J187" s="1" t="s">
        <v>1853</v>
      </c>
      <c r="K187" s="1">
        <v>4764</v>
      </c>
      <c r="L187" s="1">
        <v>4793</v>
      </c>
      <c r="M187" s="1" t="s">
        <v>120</v>
      </c>
      <c r="N187" s="1" t="s">
        <v>121</v>
      </c>
      <c r="O187" s="1" t="s">
        <v>26</v>
      </c>
      <c r="P187" s="1" t="s">
        <v>120</v>
      </c>
      <c r="Q187" s="1">
        <v>3986</v>
      </c>
      <c r="R187" s="1">
        <v>4015</v>
      </c>
      <c r="S187" s="1" t="s">
        <v>117</v>
      </c>
      <c r="T187" s="1" t="s">
        <v>117</v>
      </c>
      <c r="U187" s="1">
        <v>0</v>
      </c>
      <c r="V187" s="1">
        <v>0</v>
      </c>
      <c r="W187" s="1">
        <v>0</v>
      </c>
      <c r="X187" s="4" t="b">
        <v>1</v>
      </c>
    </row>
    <row r="188" spans="1:24" ht="17" customHeight="1" x14ac:dyDescent="0.2">
      <c r="A188" s="1" t="s">
        <v>117</v>
      </c>
      <c r="B188" s="1" t="s">
        <v>117</v>
      </c>
      <c r="C188" s="1" t="s">
        <v>84</v>
      </c>
      <c r="D188" s="1">
        <v>894</v>
      </c>
      <c r="E188" s="1">
        <v>903</v>
      </c>
      <c r="G188" s="1" t="s">
        <v>119</v>
      </c>
      <c r="I188" s="1" t="s">
        <v>22</v>
      </c>
      <c r="J188" s="1" t="s">
        <v>40</v>
      </c>
      <c r="K188" s="1">
        <v>4764</v>
      </c>
      <c r="L188" s="1">
        <v>4793</v>
      </c>
      <c r="M188" s="1" t="s">
        <v>1548</v>
      </c>
      <c r="N188" s="1" t="s">
        <v>1548</v>
      </c>
      <c r="O188" s="1" t="s">
        <v>1531</v>
      </c>
      <c r="P188" s="1" t="s">
        <v>1702</v>
      </c>
      <c r="Q188" s="1">
        <v>3986</v>
      </c>
      <c r="R188" s="1">
        <v>4015</v>
      </c>
      <c r="S188" s="1" t="s">
        <v>117</v>
      </c>
      <c r="T188" s="1" t="s">
        <v>117</v>
      </c>
      <c r="W188" s="1">
        <v>0</v>
      </c>
      <c r="X188" s="4" t="b">
        <v>1</v>
      </c>
    </row>
    <row r="189" spans="1:24" ht="17" customHeight="1" x14ac:dyDescent="0.2">
      <c r="A189" s="1" t="s">
        <v>270</v>
      </c>
      <c r="B189" s="1" t="s">
        <v>270</v>
      </c>
      <c r="C189" s="1" t="s">
        <v>84</v>
      </c>
      <c r="D189" s="1">
        <v>900</v>
      </c>
      <c r="E189" s="1">
        <v>909</v>
      </c>
      <c r="F189" s="1" t="s">
        <v>271</v>
      </c>
      <c r="G189" s="1" t="s">
        <v>272</v>
      </c>
      <c r="I189" s="1" t="s">
        <v>22</v>
      </c>
      <c r="J189" s="1" t="s">
        <v>273</v>
      </c>
      <c r="K189" s="1">
        <v>4782</v>
      </c>
      <c r="L189" s="1">
        <v>4811</v>
      </c>
      <c r="M189" s="1" t="s">
        <v>274</v>
      </c>
      <c r="N189" s="1" t="s">
        <v>274</v>
      </c>
      <c r="O189" s="1" t="s">
        <v>275</v>
      </c>
      <c r="P189" s="1" t="s">
        <v>274</v>
      </c>
      <c r="Q189" s="1">
        <v>4004</v>
      </c>
      <c r="R189" s="1">
        <v>4033</v>
      </c>
      <c r="S189" s="1" t="s">
        <v>270</v>
      </c>
      <c r="T189" s="1" t="s">
        <v>270</v>
      </c>
      <c r="U189" s="1">
        <v>0</v>
      </c>
      <c r="V189" s="1">
        <v>0</v>
      </c>
      <c r="W189" s="1">
        <v>0</v>
      </c>
      <c r="X189" s="4" t="b">
        <v>1</v>
      </c>
    </row>
    <row r="190" spans="1:24" ht="17" customHeight="1" x14ac:dyDescent="0.2">
      <c r="A190" s="1" t="s">
        <v>739</v>
      </c>
      <c r="B190" s="1" t="s">
        <v>739</v>
      </c>
      <c r="C190" s="1" t="s">
        <v>84</v>
      </c>
      <c r="D190" s="1">
        <v>901</v>
      </c>
      <c r="E190" s="1">
        <v>909</v>
      </c>
      <c r="F190" s="1" t="s">
        <v>740</v>
      </c>
      <c r="G190" s="1" t="s">
        <v>741</v>
      </c>
      <c r="I190" s="1" t="s">
        <v>22</v>
      </c>
      <c r="J190" s="1" t="s">
        <v>419</v>
      </c>
      <c r="K190" s="1">
        <v>4785</v>
      </c>
      <c r="L190" s="1">
        <v>4811</v>
      </c>
      <c r="M190" s="1" t="s">
        <v>742</v>
      </c>
      <c r="N190" s="1" t="s">
        <v>743</v>
      </c>
      <c r="O190" s="1" t="s">
        <v>26</v>
      </c>
      <c r="P190" s="1" t="s">
        <v>742</v>
      </c>
      <c r="Q190" s="1">
        <v>4007</v>
      </c>
      <c r="R190" s="1">
        <v>4033</v>
      </c>
      <c r="S190" s="1" t="s">
        <v>739</v>
      </c>
      <c r="T190" s="1" t="s">
        <v>739</v>
      </c>
      <c r="U190" s="1">
        <v>0</v>
      </c>
      <c r="V190" s="1">
        <v>0</v>
      </c>
      <c r="W190" s="1">
        <v>0</v>
      </c>
      <c r="X190" s="4" t="b">
        <v>1</v>
      </c>
    </row>
    <row r="191" spans="1:24" ht="17" customHeight="1" x14ac:dyDescent="0.2">
      <c r="A191" s="1" t="s">
        <v>356</v>
      </c>
      <c r="B191" s="1" t="s">
        <v>356</v>
      </c>
      <c r="C191" s="1" t="s">
        <v>84</v>
      </c>
      <c r="D191" s="1">
        <v>912</v>
      </c>
      <c r="E191" s="1">
        <v>919</v>
      </c>
      <c r="F191" s="1" t="s">
        <v>357</v>
      </c>
      <c r="G191" s="1" t="s">
        <v>358</v>
      </c>
      <c r="H191" s="1" t="s">
        <v>31</v>
      </c>
      <c r="I191" s="1" t="s">
        <v>22</v>
      </c>
      <c r="J191" s="1" t="s">
        <v>79</v>
      </c>
      <c r="K191" s="1">
        <v>4818</v>
      </c>
      <c r="L191" s="1">
        <v>4841</v>
      </c>
      <c r="M191" s="1" t="s">
        <v>359</v>
      </c>
      <c r="N191" s="1" t="e">
        <v>#N/A</v>
      </c>
      <c r="O191" s="1" t="s">
        <v>360</v>
      </c>
      <c r="P191" s="1" t="s">
        <v>359</v>
      </c>
      <c r="Q191" s="1">
        <v>4040</v>
      </c>
      <c r="R191" s="1">
        <v>4063</v>
      </c>
      <c r="S191" s="1" t="s">
        <v>356</v>
      </c>
      <c r="T191" s="1" t="s">
        <v>356</v>
      </c>
      <c r="U191" s="1">
        <v>0</v>
      </c>
      <c r="V191" s="1">
        <v>0</v>
      </c>
      <c r="W191" s="1">
        <v>0</v>
      </c>
      <c r="X191" s="4" t="b">
        <v>1</v>
      </c>
    </row>
    <row r="192" spans="1:24" ht="17" customHeight="1" x14ac:dyDescent="0.2">
      <c r="A192" s="1" t="s">
        <v>527</v>
      </c>
      <c r="B192" s="1" t="s">
        <v>527</v>
      </c>
      <c r="C192" s="1" t="s">
        <v>84</v>
      </c>
      <c r="D192" s="1">
        <v>918</v>
      </c>
      <c r="E192" s="1">
        <v>926</v>
      </c>
      <c r="F192" s="1" t="s">
        <v>528</v>
      </c>
      <c r="G192" s="1" t="s">
        <v>529</v>
      </c>
      <c r="H192" s="1" t="s">
        <v>31</v>
      </c>
      <c r="I192" s="1" t="s">
        <v>22</v>
      </c>
      <c r="J192" s="1" t="s">
        <v>530</v>
      </c>
      <c r="K192" s="1">
        <v>4836</v>
      </c>
      <c r="L192" s="1">
        <v>4862</v>
      </c>
      <c r="M192" s="1" t="s">
        <v>531</v>
      </c>
      <c r="N192" s="1" t="s">
        <v>531</v>
      </c>
      <c r="O192" s="1" t="s">
        <v>532</v>
      </c>
      <c r="P192" s="1" t="s">
        <v>531</v>
      </c>
      <c r="Q192" s="1">
        <v>4058</v>
      </c>
      <c r="R192" s="1">
        <v>4084</v>
      </c>
      <c r="S192" s="1" t="s">
        <v>527</v>
      </c>
      <c r="T192" s="1" t="s">
        <v>527</v>
      </c>
      <c r="U192" s="1">
        <v>0</v>
      </c>
      <c r="V192" s="1">
        <v>0</v>
      </c>
      <c r="W192" s="1">
        <v>0</v>
      </c>
      <c r="X192" s="4" t="b">
        <v>1</v>
      </c>
    </row>
    <row r="193" spans="1:24" ht="17" customHeight="1" x14ac:dyDescent="0.2">
      <c r="A193" s="1" t="s">
        <v>1650</v>
      </c>
      <c r="B193" s="1" t="s">
        <v>1650</v>
      </c>
      <c r="C193" s="1" t="s">
        <v>84</v>
      </c>
      <c r="D193" s="1">
        <v>928</v>
      </c>
      <c r="E193" s="1">
        <v>935</v>
      </c>
      <c r="G193" s="1" t="s">
        <v>1651</v>
      </c>
      <c r="I193" s="1" t="s">
        <v>22</v>
      </c>
      <c r="J193" s="1" t="s">
        <v>1055</v>
      </c>
      <c r="K193" s="1">
        <v>4866</v>
      </c>
      <c r="L193" s="1">
        <v>4889</v>
      </c>
      <c r="M193" s="1" t="s">
        <v>1652</v>
      </c>
      <c r="N193" s="1" t="s">
        <v>1652</v>
      </c>
      <c r="O193" s="1" t="s">
        <v>1531</v>
      </c>
      <c r="P193" s="1" t="s">
        <v>1652</v>
      </c>
      <c r="Q193" s="1">
        <v>4088</v>
      </c>
      <c r="R193" s="1">
        <v>4111</v>
      </c>
      <c r="S193" s="1" t="s">
        <v>1650</v>
      </c>
      <c r="T193" s="1" t="s">
        <v>1650</v>
      </c>
      <c r="W193" s="1">
        <v>0</v>
      </c>
      <c r="X193" s="4" t="b">
        <v>1</v>
      </c>
    </row>
    <row r="194" spans="1:24" ht="17" customHeight="1" x14ac:dyDescent="0.2">
      <c r="A194" s="1" t="s">
        <v>701</v>
      </c>
      <c r="B194" s="1" t="s">
        <v>701</v>
      </c>
      <c r="C194" s="1" t="s">
        <v>84</v>
      </c>
      <c r="D194" s="1">
        <v>934</v>
      </c>
      <c r="E194" s="1">
        <v>942</v>
      </c>
      <c r="F194" s="1" t="s">
        <v>702</v>
      </c>
      <c r="G194" s="1" t="s">
        <v>703</v>
      </c>
      <c r="I194" s="1" t="s">
        <v>22</v>
      </c>
      <c r="J194" s="1" t="s">
        <v>434</v>
      </c>
      <c r="K194" s="1">
        <v>4884</v>
      </c>
      <c r="L194" s="1">
        <v>4910</v>
      </c>
      <c r="M194" s="1" t="s">
        <v>704</v>
      </c>
      <c r="N194" s="1" t="s">
        <v>705</v>
      </c>
      <c r="O194" s="1" t="s">
        <v>706</v>
      </c>
      <c r="P194" s="1" t="s">
        <v>704</v>
      </c>
      <c r="Q194" s="1">
        <v>4106</v>
      </c>
      <c r="R194" s="1">
        <v>4132</v>
      </c>
      <c r="S194" s="1" t="s">
        <v>701</v>
      </c>
      <c r="T194" s="1" t="s">
        <v>701</v>
      </c>
      <c r="U194" s="1">
        <v>0</v>
      </c>
      <c r="V194" s="1">
        <v>0</v>
      </c>
      <c r="W194" s="1">
        <v>0</v>
      </c>
      <c r="X194" s="7" t="s">
        <v>439</v>
      </c>
    </row>
    <row r="195" spans="1:24" ht="17" customHeight="1" x14ac:dyDescent="0.2">
      <c r="A195" s="1" t="s">
        <v>1655</v>
      </c>
      <c r="B195" s="1" t="s">
        <v>1655</v>
      </c>
      <c r="C195" s="1" t="s">
        <v>84</v>
      </c>
      <c r="D195" s="1">
        <v>942</v>
      </c>
      <c r="E195" s="1">
        <v>950</v>
      </c>
      <c r="F195" s="1" t="s">
        <v>1780</v>
      </c>
      <c r="G195" s="1" t="s">
        <v>1653</v>
      </c>
      <c r="I195" s="1" t="s">
        <v>22</v>
      </c>
      <c r="J195" s="1" t="s">
        <v>1854</v>
      </c>
      <c r="K195" s="1">
        <v>4908</v>
      </c>
      <c r="L195" s="1">
        <v>4934</v>
      </c>
      <c r="M195" s="1" t="s">
        <v>1654</v>
      </c>
      <c r="N195" s="1" t="s">
        <v>1654</v>
      </c>
      <c r="O195" s="1" t="s">
        <v>1531</v>
      </c>
      <c r="P195" s="1" t="s">
        <v>1654</v>
      </c>
      <c r="Q195" s="1">
        <v>4130</v>
      </c>
      <c r="R195" s="1">
        <v>4156</v>
      </c>
      <c r="S195" s="1" t="s">
        <v>1655</v>
      </c>
      <c r="T195" s="1" t="s">
        <v>1655</v>
      </c>
      <c r="W195" s="1">
        <v>1</v>
      </c>
      <c r="X195" s="4" t="b">
        <v>1</v>
      </c>
    </row>
    <row r="196" spans="1:24" ht="17" customHeight="1" x14ac:dyDescent="0.2">
      <c r="A196" s="1" t="s">
        <v>1605</v>
      </c>
      <c r="B196" s="1" t="s">
        <v>1606</v>
      </c>
      <c r="C196" s="1" t="s">
        <v>84</v>
      </c>
      <c r="G196" s="1" t="s">
        <v>1607</v>
      </c>
      <c r="I196" s="1" t="s">
        <v>22</v>
      </c>
      <c r="J196" s="1" t="s">
        <v>1835</v>
      </c>
      <c r="K196" s="1">
        <v>4937</v>
      </c>
      <c r="L196" s="1">
        <v>4966</v>
      </c>
      <c r="M196" s="1" t="s">
        <v>1608</v>
      </c>
      <c r="N196" s="1" t="s">
        <v>1608</v>
      </c>
      <c r="O196" s="1" t="s">
        <v>1531</v>
      </c>
      <c r="P196" s="1" t="s">
        <v>1608</v>
      </c>
      <c r="Q196" s="1">
        <v>4159</v>
      </c>
      <c r="R196" s="1">
        <v>4188</v>
      </c>
      <c r="S196" s="1" t="s">
        <v>1609</v>
      </c>
      <c r="T196" s="1" t="s">
        <v>1605</v>
      </c>
      <c r="W196" s="1">
        <v>1</v>
      </c>
      <c r="X196" s="4" t="b">
        <v>0</v>
      </c>
    </row>
    <row r="197" spans="1:24" ht="17" customHeight="1" x14ac:dyDescent="0.2">
      <c r="A197" s="1" t="s">
        <v>1656</v>
      </c>
      <c r="B197" s="1" t="s">
        <v>1656</v>
      </c>
      <c r="C197" s="1" t="s">
        <v>84</v>
      </c>
      <c r="D197" s="1">
        <v>974</v>
      </c>
      <c r="E197" s="1">
        <v>983</v>
      </c>
      <c r="G197" s="1" t="s">
        <v>1657</v>
      </c>
      <c r="I197" s="1" t="s">
        <v>22</v>
      </c>
      <c r="J197" s="1" t="s">
        <v>145</v>
      </c>
      <c r="K197" s="1">
        <v>5004</v>
      </c>
      <c r="L197" s="1">
        <v>5033</v>
      </c>
      <c r="M197" s="1" t="s">
        <v>1658</v>
      </c>
      <c r="N197" s="1" t="s">
        <v>1658</v>
      </c>
      <c r="O197" s="1" t="s">
        <v>1531</v>
      </c>
      <c r="P197" s="1" t="s">
        <v>1658</v>
      </c>
      <c r="Q197" s="1">
        <v>4226</v>
      </c>
      <c r="R197" s="1">
        <v>4255</v>
      </c>
      <c r="S197" s="1" t="s">
        <v>1656</v>
      </c>
      <c r="T197" s="1" t="s">
        <v>1656</v>
      </c>
      <c r="W197" s="1">
        <v>0</v>
      </c>
      <c r="X197" s="4" t="b">
        <v>1</v>
      </c>
    </row>
    <row r="198" spans="1:24" ht="17" customHeight="1" x14ac:dyDescent="0.2">
      <c r="A198" s="1" t="s">
        <v>1372</v>
      </c>
      <c r="B198" s="1" t="s">
        <v>1372</v>
      </c>
      <c r="C198" s="1" t="s">
        <v>84</v>
      </c>
      <c r="D198" s="1">
        <v>975</v>
      </c>
      <c r="E198" s="1">
        <v>983</v>
      </c>
      <c r="F198" s="1" t="s">
        <v>1373</v>
      </c>
      <c r="G198" s="1" t="s">
        <v>1374</v>
      </c>
      <c r="I198" s="1" t="s">
        <v>22</v>
      </c>
      <c r="J198" s="1" t="s">
        <v>1855</v>
      </c>
      <c r="K198" s="1">
        <v>5007</v>
      </c>
      <c r="L198" s="1">
        <v>5033</v>
      </c>
      <c r="M198" s="1" t="s">
        <v>1375</v>
      </c>
      <c r="N198" s="1" t="e">
        <v>#N/A</v>
      </c>
      <c r="O198" s="1" t="s">
        <v>1376</v>
      </c>
      <c r="P198" s="1" t="s">
        <v>1375</v>
      </c>
      <c r="Q198" s="1">
        <v>4229</v>
      </c>
      <c r="R198" s="1">
        <v>4255</v>
      </c>
      <c r="S198" s="1" t="s">
        <v>1372</v>
      </c>
      <c r="T198" s="1" t="s">
        <v>1372</v>
      </c>
      <c r="U198" s="1">
        <v>0</v>
      </c>
      <c r="V198" s="1">
        <v>0</v>
      </c>
      <c r="W198" s="1">
        <v>0</v>
      </c>
      <c r="X198" s="4" t="b">
        <v>1</v>
      </c>
    </row>
    <row r="199" spans="1:24" ht="17" customHeight="1" x14ac:dyDescent="0.2">
      <c r="A199" s="1" t="s">
        <v>1010</v>
      </c>
      <c r="B199" s="1" t="s">
        <v>1010</v>
      </c>
      <c r="C199" s="1" t="s">
        <v>84</v>
      </c>
      <c r="D199" s="1">
        <v>978</v>
      </c>
      <c r="E199" s="1">
        <v>986</v>
      </c>
      <c r="F199" s="1" t="s">
        <v>1011</v>
      </c>
      <c r="G199" s="1" t="s">
        <v>1012</v>
      </c>
      <c r="I199" s="1" t="s">
        <v>22</v>
      </c>
      <c r="J199" s="1" t="s">
        <v>273</v>
      </c>
      <c r="K199" s="1">
        <v>5016</v>
      </c>
      <c r="L199" s="1">
        <v>5042</v>
      </c>
      <c r="M199" s="1" t="s">
        <v>1013</v>
      </c>
      <c r="N199" s="1" t="s">
        <v>1013</v>
      </c>
      <c r="O199" s="1" t="s">
        <v>1014</v>
      </c>
      <c r="P199" s="1" t="s">
        <v>1013</v>
      </c>
      <c r="Q199" s="1">
        <v>4238</v>
      </c>
      <c r="R199" s="1">
        <v>4264</v>
      </c>
      <c r="S199" s="1" t="s">
        <v>1010</v>
      </c>
      <c r="T199" s="1" t="s">
        <v>1010</v>
      </c>
      <c r="U199" s="1">
        <v>0</v>
      </c>
      <c r="V199" s="1">
        <v>0</v>
      </c>
      <c r="W199" s="1">
        <v>0</v>
      </c>
      <c r="X199" s="4" t="b">
        <v>1</v>
      </c>
    </row>
    <row r="200" spans="1:24" ht="17" customHeight="1" x14ac:dyDescent="0.2">
      <c r="A200" s="1" t="s">
        <v>1659</v>
      </c>
      <c r="B200" s="1" t="s">
        <v>1659</v>
      </c>
      <c r="C200" s="1" t="s">
        <v>84</v>
      </c>
      <c r="D200" s="1">
        <v>978</v>
      </c>
      <c r="E200" s="1">
        <v>988</v>
      </c>
      <c r="G200" s="1" t="s">
        <v>1660</v>
      </c>
      <c r="I200" s="1" t="s">
        <v>22</v>
      </c>
      <c r="J200" s="1" t="s">
        <v>145</v>
      </c>
      <c r="K200" s="1">
        <v>5016</v>
      </c>
      <c r="L200" s="1">
        <v>5048</v>
      </c>
      <c r="M200" s="1" t="s">
        <v>1661</v>
      </c>
      <c r="N200" s="1" t="s">
        <v>1661</v>
      </c>
      <c r="O200" s="1" t="s">
        <v>1531</v>
      </c>
      <c r="P200" s="1" t="s">
        <v>1661</v>
      </c>
      <c r="Q200" s="1">
        <v>4238</v>
      </c>
      <c r="R200" s="1">
        <v>4270</v>
      </c>
      <c r="S200" s="1" t="s">
        <v>1659</v>
      </c>
      <c r="T200" s="1" t="s">
        <v>1659</v>
      </c>
      <c r="W200" s="1">
        <v>0</v>
      </c>
      <c r="X200" s="4" t="b">
        <v>1</v>
      </c>
    </row>
    <row r="201" spans="1:24" ht="17" customHeight="1" x14ac:dyDescent="0.2">
      <c r="A201" s="1" t="s">
        <v>1662</v>
      </c>
      <c r="B201" s="1" t="s">
        <v>1662</v>
      </c>
      <c r="C201" s="1" t="s">
        <v>84</v>
      </c>
      <c r="D201" s="1">
        <v>981</v>
      </c>
      <c r="E201" s="1">
        <v>988</v>
      </c>
      <c r="G201" s="1" t="s">
        <v>1663</v>
      </c>
      <c r="I201" s="1" t="s">
        <v>22</v>
      </c>
      <c r="J201" s="1" t="s">
        <v>145</v>
      </c>
      <c r="K201" s="1">
        <v>5025</v>
      </c>
      <c r="L201" s="1">
        <v>5048</v>
      </c>
      <c r="M201" s="1" t="s">
        <v>1664</v>
      </c>
      <c r="N201" s="1" t="s">
        <v>1664</v>
      </c>
      <c r="O201" s="1" t="s">
        <v>1531</v>
      </c>
      <c r="P201" s="1" t="s">
        <v>1664</v>
      </c>
      <c r="Q201" s="1">
        <v>4247</v>
      </c>
      <c r="R201" s="1">
        <v>4270</v>
      </c>
      <c r="S201" s="1" t="s">
        <v>1662</v>
      </c>
      <c r="T201" s="1" t="s">
        <v>1662</v>
      </c>
      <c r="W201" s="1">
        <v>0</v>
      </c>
      <c r="X201" s="4" t="b">
        <v>1</v>
      </c>
    </row>
    <row r="202" spans="1:24" ht="17" customHeight="1" x14ac:dyDescent="0.2">
      <c r="A202" s="1" t="s">
        <v>1787</v>
      </c>
      <c r="B202" s="1" t="s">
        <v>1787</v>
      </c>
      <c r="C202" s="1" t="s">
        <v>84</v>
      </c>
      <c r="D202" s="1">
        <v>982</v>
      </c>
      <c r="E202" s="1">
        <v>990</v>
      </c>
      <c r="F202" s="1" t="s">
        <v>1781</v>
      </c>
      <c r="G202" s="1" t="s">
        <v>1665</v>
      </c>
      <c r="I202" s="1" t="s">
        <v>22</v>
      </c>
      <c r="J202" s="1" t="s">
        <v>1479</v>
      </c>
      <c r="K202" s="1">
        <v>5028</v>
      </c>
      <c r="L202" s="1">
        <v>5054</v>
      </c>
      <c r="M202" s="1" t="s">
        <v>1666</v>
      </c>
      <c r="N202" s="1" t="s">
        <v>1666</v>
      </c>
      <c r="O202" s="1" t="s">
        <v>1531</v>
      </c>
      <c r="P202" s="1" t="s">
        <v>1666</v>
      </c>
      <c r="Q202" s="1">
        <v>4250</v>
      </c>
      <c r="R202" s="1">
        <v>4276</v>
      </c>
      <c r="S202" s="1" t="s">
        <v>1787</v>
      </c>
      <c r="T202" s="1" t="s">
        <v>1787</v>
      </c>
      <c r="W202" s="1">
        <v>0</v>
      </c>
      <c r="X202" s="4" t="b">
        <v>1</v>
      </c>
    </row>
    <row r="203" spans="1:24" ht="17" customHeight="1" x14ac:dyDescent="0.2">
      <c r="A203" s="1" t="s">
        <v>1005</v>
      </c>
      <c r="B203" s="1" t="s">
        <v>1005</v>
      </c>
      <c r="C203" s="1" t="s">
        <v>448</v>
      </c>
      <c r="D203" s="1">
        <v>17</v>
      </c>
      <c r="E203" s="1">
        <v>26</v>
      </c>
      <c r="F203" s="1" t="s">
        <v>448</v>
      </c>
      <c r="G203" s="1" t="s">
        <v>1006</v>
      </c>
      <c r="H203" s="1" t="s">
        <v>31</v>
      </c>
      <c r="I203" s="1" t="s">
        <v>22</v>
      </c>
      <c r="J203" s="1" t="s">
        <v>107</v>
      </c>
      <c r="K203" s="1">
        <v>5089</v>
      </c>
      <c r="L203" s="1">
        <v>5118</v>
      </c>
      <c r="M203" s="1" t="s">
        <v>1007</v>
      </c>
      <c r="N203" s="1" t="s">
        <v>1008</v>
      </c>
      <c r="O203" s="1" t="s">
        <v>1009</v>
      </c>
      <c r="P203" s="1" t="s">
        <v>1007</v>
      </c>
      <c r="Q203" s="1">
        <v>4311</v>
      </c>
      <c r="R203" s="1">
        <v>4340</v>
      </c>
      <c r="S203" s="1" t="s">
        <v>1005</v>
      </c>
      <c r="T203" s="1" t="s">
        <v>1005</v>
      </c>
      <c r="U203" s="1">
        <v>0</v>
      </c>
      <c r="V203" s="1">
        <v>0</v>
      </c>
      <c r="W203" s="1">
        <v>0</v>
      </c>
      <c r="X203" s="4" t="b">
        <v>1</v>
      </c>
    </row>
    <row r="204" spans="1:24" ht="17" customHeight="1" x14ac:dyDescent="0.2">
      <c r="A204" s="1" t="s">
        <v>1667</v>
      </c>
      <c r="B204" s="1" t="s">
        <v>1667</v>
      </c>
      <c r="C204" s="1" t="s">
        <v>448</v>
      </c>
      <c r="D204" s="1">
        <v>18</v>
      </c>
      <c r="E204" s="1">
        <v>26</v>
      </c>
      <c r="G204" s="1" t="s">
        <v>1668</v>
      </c>
      <c r="I204" s="1" t="s">
        <v>22</v>
      </c>
      <c r="J204" s="1" t="s">
        <v>1856</v>
      </c>
      <c r="K204" s="1">
        <v>5092</v>
      </c>
      <c r="L204" s="1">
        <v>5118</v>
      </c>
      <c r="M204" s="1" t="s">
        <v>1669</v>
      </c>
      <c r="N204" s="1" t="s">
        <v>1669</v>
      </c>
      <c r="O204" s="1" t="s">
        <v>1531</v>
      </c>
      <c r="P204" s="1" t="s">
        <v>1669</v>
      </c>
      <c r="Q204" s="1">
        <v>4314</v>
      </c>
      <c r="R204" s="1">
        <v>4340</v>
      </c>
      <c r="S204" s="1" t="s">
        <v>1667</v>
      </c>
      <c r="T204" s="1" t="s">
        <v>1667</v>
      </c>
      <c r="W204" s="1">
        <v>0</v>
      </c>
      <c r="X204" s="4" t="b">
        <v>1</v>
      </c>
    </row>
    <row r="205" spans="1:24" ht="17" customHeight="1" x14ac:dyDescent="0.2">
      <c r="A205" s="1" t="s">
        <v>1670</v>
      </c>
      <c r="B205" s="1" t="s">
        <v>1670</v>
      </c>
      <c r="C205" s="1" t="s">
        <v>448</v>
      </c>
      <c r="D205" s="1">
        <v>18</v>
      </c>
      <c r="E205" s="1">
        <v>27</v>
      </c>
      <c r="G205" s="1" t="s">
        <v>1671</v>
      </c>
      <c r="I205" s="1" t="s">
        <v>22</v>
      </c>
      <c r="J205" s="1" t="s">
        <v>419</v>
      </c>
      <c r="K205" s="1">
        <v>5092</v>
      </c>
      <c r="L205" s="1">
        <v>5121</v>
      </c>
      <c r="M205" s="1" t="s">
        <v>1672</v>
      </c>
      <c r="N205" s="1" t="s">
        <v>1672</v>
      </c>
      <c r="O205" s="1" t="s">
        <v>1531</v>
      </c>
      <c r="P205" s="1" t="s">
        <v>1672</v>
      </c>
      <c r="Q205" s="1">
        <v>4314</v>
      </c>
      <c r="R205" s="1">
        <v>4343</v>
      </c>
      <c r="S205" s="1" t="s">
        <v>1670</v>
      </c>
      <c r="T205" s="1" t="s">
        <v>1670</v>
      </c>
      <c r="W205" s="1">
        <v>0</v>
      </c>
      <c r="X205" s="4" t="b">
        <v>1</v>
      </c>
    </row>
    <row r="206" spans="1:24" ht="17" customHeight="1" x14ac:dyDescent="0.2">
      <c r="A206" s="1" t="s">
        <v>447</v>
      </c>
      <c r="B206" s="1" t="s">
        <v>447</v>
      </c>
      <c r="C206" s="1" t="s">
        <v>448</v>
      </c>
      <c r="D206" s="1">
        <v>28</v>
      </c>
      <c r="E206" s="1">
        <v>36</v>
      </c>
      <c r="F206" s="1" t="s">
        <v>448</v>
      </c>
      <c r="G206" s="1" t="s">
        <v>449</v>
      </c>
      <c r="I206" s="1" t="s">
        <v>22</v>
      </c>
      <c r="J206" s="1" t="s">
        <v>107</v>
      </c>
      <c r="K206" s="1">
        <v>5122</v>
      </c>
      <c r="L206" s="1">
        <v>5148</v>
      </c>
      <c r="M206" s="1" t="s">
        <v>450</v>
      </c>
      <c r="N206" s="1" t="s">
        <v>451</v>
      </c>
      <c r="O206" s="1" t="s">
        <v>452</v>
      </c>
      <c r="P206" s="1" t="s">
        <v>450</v>
      </c>
      <c r="Q206" s="1">
        <v>4344</v>
      </c>
      <c r="R206" s="1">
        <v>4370</v>
      </c>
      <c r="S206" s="1" t="s">
        <v>453</v>
      </c>
      <c r="T206" s="1" t="s">
        <v>454</v>
      </c>
      <c r="U206" s="1">
        <v>1</v>
      </c>
      <c r="V206" s="1">
        <v>3</v>
      </c>
      <c r="W206" s="1">
        <v>3</v>
      </c>
      <c r="X206" s="4" t="b">
        <v>0</v>
      </c>
    </row>
    <row r="207" spans="1:24" ht="17" customHeight="1" x14ac:dyDescent="0.2">
      <c r="A207" s="1" t="s">
        <v>589</v>
      </c>
      <c r="B207" s="1" t="s">
        <v>589</v>
      </c>
      <c r="C207" s="1" t="s">
        <v>448</v>
      </c>
      <c r="D207" s="1">
        <v>31</v>
      </c>
      <c r="E207" s="1">
        <v>39</v>
      </c>
      <c r="F207" s="1" t="s">
        <v>448</v>
      </c>
      <c r="G207" s="1" t="s">
        <v>590</v>
      </c>
      <c r="I207" s="1" t="s">
        <v>22</v>
      </c>
      <c r="J207" s="1" t="s">
        <v>658</v>
      </c>
      <c r="K207" s="1">
        <v>5131</v>
      </c>
      <c r="L207" s="1">
        <v>5157</v>
      </c>
      <c r="M207" s="1" t="s">
        <v>591</v>
      </c>
      <c r="N207" s="1" t="s">
        <v>592</v>
      </c>
      <c r="O207" s="1" t="s">
        <v>593</v>
      </c>
      <c r="P207" s="1" t="s">
        <v>591</v>
      </c>
      <c r="Q207" s="1">
        <v>4353</v>
      </c>
      <c r="R207" s="1">
        <v>4379</v>
      </c>
      <c r="S207" s="1" t="s">
        <v>594</v>
      </c>
      <c r="T207" s="1" t="s">
        <v>595</v>
      </c>
      <c r="U207" s="1">
        <v>1</v>
      </c>
      <c r="V207" s="1">
        <v>3</v>
      </c>
      <c r="W207" s="1">
        <v>3</v>
      </c>
      <c r="X207" s="4" t="b">
        <v>0</v>
      </c>
    </row>
    <row r="208" spans="1:24" ht="17" customHeight="1" x14ac:dyDescent="0.2">
      <c r="A208" s="1" t="s">
        <v>462</v>
      </c>
      <c r="B208" s="1" t="s">
        <v>462</v>
      </c>
      <c r="C208" s="1" t="s">
        <v>448</v>
      </c>
      <c r="D208" s="1">
        <v>48</v>
      </c>
      <c r="E208" s="1">
        <v>57</v>
      </c>
      <c r="F208" s="1" t="s">
        <v>448</v>
      </c>
      <c r="G208" s="1" t="s">
        <v>463</v>
      </c>
      <c r="I208" s="1" t="s">
        <v>22</v>
      </c>
      <c r="J208" s="1" t="s">
        <v>1889</v>
      </c>
      <c r="K208" s="1">
        <v>5182</v>
      </c>
      <c r="L208" s="1">
        <v>5211</v>
      </c>
      <c r="M208" s="1" t="s">
        <v>464</v>
      </c>
      <c r="N208" s="1" t="s">
        <v>465</v>
      </c>
      <c r="O208" s="1" t="s">
        <v>466</v>
      </c>
      <c r="P208" s="1" t="s">
        <v>464</v>
      </c>
      <c r="Q208" s="1">
        <v>4404</v>
      </c>
      <c r="R208" s="1">
        <v>4433</v>
      </c>
      <c r="S208" s="1" t="s">
        <v>467</v>
      </c>
      <c r="T208" s="1" t="s">
        <v>467</v>
      </c>
      <c r="U208" s="1">
        <v>1</v>
      </c>
      <c r="V208" s="1">
        <v>1</v>
      </c>
      <c r="W208" s="1">
        <v>0</v>
      </c>
      <c r="X208" s="4" t="b">
        <v>0</v>
      </c>
    </row>
    <row r="209" spans="1:24" ht="17" customHeight="1" x14ac:dyDescent="0.2">
      <c r="A209" s="1" t="s">
        <v>544</v>
      </c>
      <c r="B209" s="1" t="s">
        <v>544</v>
      </c>
      <c r="C209" s="1" t="s">
        <v>448</v>
      </c>
      <c r="D209" s="1">
        <v>57</v>
      </c>
      <c r="E209" s="1">
        <v>66</v>
      </c>
      <c r="F209" s="1" t="s">
        <v>448</v>
      </c>
      <c r="G209" s="1" t="s">
        <v>545</v>
      </c>
      <c r="I209" s="1" t="s">
        <v>22</v>
      </c>
      <c r="J209" s="1" t="s">
        <v>1898</v>
      </c>
      <c r="K209" s="1">
        <v>5209</v>
      </c>
      <c r="L209" s="1">
        <v>5238</v>
      </c>
      <c r="M209" s="1" t="s">
        <v>546</v>
      </c>
      <c r="N209" s="1" t="s">
        <v>546</v>
      </c>
      <c r="O209" s="1" t="s">
        <v>547</v>
      </c>
      <c r="P209" s="1" t="s">
        <v>546</v>
      </c>
      <c r="Q209" s="1">
        <v>4431</v>
      </c>
      <c r="R209" s="1">
        <v>4460</v>
      </c>
      <c r="S209" s="1" t="s">
        <v>548</v>
      </c>
      <c r="T209" s="1" t="s">
        <v>549</v>
      </c>
      <c r="U209" s="1">
        <v>1</v>
      </c>
      <c r="V209" s="1">
        <v>2</v>
      </c>
      <c r="W209" s="1">
        <v>1</v>
      </c>
      <c r="X209" s="4" t="b">
        <v>0</v>
      </c>
    </row>
    <row r="210" spans="1:24" ht="17" customHeight="1" x14ac:dyDescent="0.2">
      <c r="A210" s="1" t="s">
        <v>1427</v>
      </c>
      <c r="B210" s="1" t="s">
        <v>1427</v>
      </c>
      <c r="C210" s="1" t="s">
        <v>448</v>
      </c>
      <c r="D210" s="1">
        <v>79</v>
      </c>
      <c r="E210" s="1">
        <v>87</v>
      </c>
      <c r="F210" s="1" t="s">
        <v>448</v>
      </c>
      <c r="G210" s="1" t="s">
        <v>1428</v>
      </c>
      <c r="I210" s="1" t="s">
        <v>22</v>
      </c>
      <c r="J210" s="1" t="s">
        <v>477</v>
      </c>
      <c r="K210" s="1">
        <v>5275</v>
      </c>
      <c r="L210" s="1">
        <v>5301</v>
      </c>
      <c r="M210" s="1" t="s">
        <v>1429</v>
      </c>
      <c r="N210" s="1" t="s">
        <v>1429</v>
      </c>
      <c r="O210" s="1" t="s">
        <v>1430</v>
      </c>
      <c r="P210" s="1" t="s">
        <v>1429</v>
      </c>
      <c r="Q210" s="1">
        <v>4497</v>
      </c>
      <c r="R210" s="1">
        <v>4523</v>
      </c>
      <c r="S210" s="1" t="s">
        <v>1431</v>
      </c>
      <c r="T210" s="1" t="s">
        <v>1431</v>
      </c>
      <c r="U210" s="1">
        <v>1</v>
      </c>
      <c r="V210" s="1">
        <v>1</v>
      </c>
      <c r="W210" s="1">
        <v>0</v>
      </c>
      <c r="X210" s="4" t="b">
        <v>0</v>
      </c>
    </row>
    <row r="211" spans="1:24" ht="17" customHeight="1" x14ac:dyDescent="0.2">
      <c r="A211" s="1" t="s">
        <v>1431</v>
      </c>
      <c r="B211" s="1" t="s">
        <v>1431</v>
      </c>
      <c r="C211" s="1" t="s">
        <v>448</v>
      </c>
      <c r="D211" s="1">
        <v>79</v>
      </c>
      <c r="E211" s="1">
        <v>87</v>
      </c>
      <c r="F211" s="1" t="s">
        <v>448</v>
      </c>
      <c r="G211" s="1" t="s">
        <v>1428</v>
      </c>
      <c r="I211" s="1" t="s">
        <v>22</v>
      </c>
      <c r="J211" s="1" t="s">
        <v>873</v>
      </c>
      <c r="K211" s="1">
        <v>5275</v>
      </c>
      <c r="L211" s="1">
        <v>5301</v>
      </c>
      <c r="M211" s="1" t="s">
        <v>1432</v>
      </c>
      <c r="N211" s="1" t="e">
        <v>#N/A</v>
      </c>
      <c r="O211" s="1" t="s">
        <v>1433</v>
      </c>
      <c r="P211" s="1" t="s">
        <v>1432</v>
      </c>
      <c r="Q211" s="1">
        <v>4497</v>
      </c>
      <c r="R211" s="1">
        <v>4523</v>
      </c>
      <c r="S211" s="1" t="s">
        <v>1431</v>
      </c>
      <c r="T211" s="1" t="s">
        <v>1431</v>
      </c>
      <c r="U211" s="1">
        <v>0</v>
      </c>
      <c r="V211" s="1">
        <v>0</v>
      </c>
      <c r="W211" s="1">
        <v>0</v>
      </c>
      <c r="X211" s="4" t="b">
        <v>1</v>
      </c>
    </row>
    <row r="212" spans="1:24" ht="17" customHeight="1" x14ac:dyDescent="0.2">
      <c r="A212" s="1" t="s">
        <v>800</v>
      </c>
      <c r="B212" s="1" t="s">
        <v>800</v>
      </c>
      <c r="C212" s="1" t="s">
        <v>448</v>
      </c>
      <c r="D212" s="1">
        <v>81</v>
      </c>
      <c r="E212" s="1">
        <v>89</v>
      </c>
      <c r="F212" s="1" t="s">
        <v>448</v>
      </c>
      <c r="G212" s="1" t="s">
        <v>801</v>
      </c>
      <c r="I212" s="1" t="s">
        <v>22</v>
      </c>
      <c r="J212" s="1" t="s">
        <v>23</v>
      </c>
      <c r="K212" s="1">
        <v>5281</v>
      </c>
      <c r="L212" s="1">
        <v>5307</v>
      </c>
      <c r="M212" s="1" t="s">
        <v>802</v>
      </c>
      <c r="N212" s="1" t="s">
        <v>803</v>
      </c>
      <c r="O212" s="1" t="s">
        <v>26</v>
      </c>
      <c r="P212" s="1" t="s">
        <v>802</v>
      </c>
      <c r="Q212" s="1">
        <v>4503</v>
      </c>
      <c r="R212" s="1">
        <v>4529</v>
      </c>
      <c r="S212" s="1" t="s">
        <v>804</v>
      </c>
      <c r="T212" s="1" t="s">
        <v>804</v>
      </c>
      <c r="U212" s="1">
        <v>1</v>
      </c>
      <c r="V212" s="1">
        <v>1</v>
      </c>
      <c r="W212" s="1">
        <v>0</v>
      </c>
      <c r="X212" s="4" t="b">
        <v>0</v>
      </c>
    </row>
    <row r="213" spans="1:24" ht="17" customHeight="1" x14ac:dyDescent="0.2">
      <c r="A213" s="1" t="s">
        <v>1788</v>
      </c>
      <c r="B213" s="1" t="s">
        <v>1788</v>
      </c>
      <c r="C213" s="1" t="s">
        <v>448</v>
      </c>
      <c r="D213" s="1">
        <v>87</v>
      </c>
      <c r="E213" s="1">
        <v>94</v>
      </c>
      <c r="G213" s="1" t="s">
        <v>1673</v>
      </c>
      <c r="I213" s="1" t="s">
        <v>22</v>
      </c>
      <c r="J213" s="1" t="s">
        <v>333</v>
      </c>
      <c r="K213" s="1">
        <v>5299</v>
      </c>
      <c r="L213" s="1">
        <v>5322</v>
      </c>
      <c r="M213" s="1" t="s">
        <v>1674</v>
      </c>
      <c r="N213" s="1" t="s">
        <v>1674</v>
      </c>
      <c r="O213" s="1" t="s">
        <v>1531</v>
      </c>
      <c r="P213" s="1" t="s">
        <v>1674</v>
      </c>
      <c r="Q213" s="1">
        <v>4521</v>
      </c>
      <c r="R213" s="1">
        <v>4544</v>
      </c>
      <c r="S213" s="1" t="s">
        <v>1788</v>
      </c>
      <c r="T213" s="1" t="s">
        <v>1788</v>
      </c>
      <c r="W213" s="1">
        <v>0</v>
      </c>
      <c r="X213" s="4" t="b">
        <v>1</v>
      </c>
    </row>
    <row r="214" spans="1:24" ht="17" customHeight="1" x14ac:dyDescent="0.2">
      <c r="A214" s="1" t="s">
        <v>779</v>
      </c>
      <c r="B214" s="1" t="s">
        <v>779</v>
      </c>
      <c r="C214" s="1" t="s">
        <v>448</v>
      </c>
      <c r="D214" s="1">
        <v>102</v>
      </c>
      <c r="E214" s="1">
        <v>111</v>
      </c>
      <c r="F214" s="1" t="s">
        <v>448</v>
      </c>
      <c r="G214" s="1" t="s">
        <v>780</v>
      </c>
      <c r="I214" s="1" t="s">
        <v>22</v>
      </c>
      <c r="J214" s="1" t="s">
        <v>333</v>
      </c>
      <c r="K214" s="1">
        <v>5344</v>
      </c>
      <c r="L214" s="1">
        <v>5373</v>
      </c>
      <c r="M214" s="1" t="s">
        <v>781</v>
      </c>
      <c r="N214" s="1" t="s">
        <v>782</v>
      </c>
      <c r="O214" s="1" t="s">
        <v>783</v>
      </c>
      <c r="P214" s="1" t="s">
        <v>781</v>
      </c>
      <c r="Q214" s="1">
        <v>4566</v>
      </c>
      <c r="R214" s="1">
        <v>4595</v>
      </c>
      <c r="S214" s="1" t="s">
        <v>784</v>
      </c>
      <c r="T214" s="1" t="s">
        <v>784</v>
      </c>
      <c r="U214" s="1">
        <v>1</v>
      </c>
      <c r="V214" s="1">
        <v>1</v>
      </c>
      <c r="W214" s="1">
        <v>0</v>
      </c>
      <c r="X214" s="4" t="b">
        <v>0</v>
      </c>
    </row>
    <row r="215" spans="1:24" ht="17" customHeight="1" x14ac:dyDescent="0.2">
      <c r="A215" s="1" t="s">
        <v>759</v>
      </c>
      <c r="B215" s="1" t="s">
        <v>759</v>
      </c>
      <c r="C215" s="1" t="s">
        <v>448</v>
      </c>
      <c r="D215" s="1">
        <v>158</v>
      </c>
      <c r="E215" s="1">
        <v>168</v>
      </c>
      <c r="F215" s="1" t="s">
        <v>448</v>
      </c>
      <c r="G215" s="1" t="s">
        <v>760</v>
      </c>
      <c r="I215" s="1" t="s">
        <v>22</v>
      </c>
      <c r="J215" s="1" t="s">
        <v>1849</v>
      </c>
      <c r="K215" s="1">
        <v>5512</v>
      </c>
      <c r="L215" s="1">
        <v>5544</v>
      </c>
      <c r="M215" s="1" t="s">
        <v>761</v>
      </c>
      <c r="N215" s="1" t="s">
        <v>762</v>
      </c>
      <c r="O215" s="1" t="s">
        <v>763</v>
      </c>
      <c r="P215" s="1" t="s">
        <v>761</v>
      </c>
      <c r="Q215" s="1">
        <v>4734</v>
      </c>
      <c r="R215" s="1">
        <v>4766</v>
      </c>
      <c r="S215" s="1" t="s">
        <v>764</v>
      </c>
      <c r="T215" s="1" t="s">
        <v>764</v>
      </c>
      <c r="U215" s="1">
        <v>2</v>
      </c>
      <c r="V215" s="1">
        <v>2</v>
      </c>
      <c r="W215" s="1">
        <v>0</v>
      </c>
      <c r="X215" s="4" t="b">
        <v>0</v>
      </c>
    </row>
    <row r="216" spans="1:24" ht="17" customHeight="1" x14ac:dyDescent="0.2">
      <c r="A216" s="1" t="s">
        <v>176</v>
      </c>
      <c r="B216" s="1" t="s">
        <v>176</v>
      </c>
      <c r="C216" s="1" t="s">
        <v>92</v>
      </c>
      <c r="D216" s="1">
        <v>29</v>
      </c>
      <c r="E216" s="1">
        <v>37</v>
      </c>
      <c r="F216" s="1" t="s">
        <v>92</v>
      </c>
      <c r="G216" s="1" t="s">
        <v>177</v>
      </c>
      <c r="I216" s="1" t="s">
        <v>22</v>
      </c>
      <c r="J216" s="1" t="s">
        <v>1857</v>
      </c>
      <c r="K216" s="1">
        <v>5643</v>
      </c>
      <c r="L216" s="1">
        <v>5669</v>
      </c>
      <c r="M216" s="1" t="s">
        <v>178</v>
      </c>
      <c r="N216" s="1" t="s">
        <v>178</v>
      </c>
      <c r="O216" s="1" t="s">
        <v>179</v>
      </c>
      <c r="P216" s="1" t="s">
        <v>178</v>
      </c>
      <c r="Q216" s="1">
        <v>4865</v>
      </c>
      <c r="R216" s="1">
        <v>4891</v>
      </c>
      <c r="S216" s="1" t="s">
        <v>176</v>
      </c>
      <c r="T216" s="1" t="s">
        <v>176</v>
      </c>
      <c r="U216" s="1">
        <v>0</v>
      </c>
      <c r="V216" s="1">
        <v>0</v>
      </c>
      <c r="W216" s="1">
        <v>0</v>
      </c>
      <c r="X216" s="4" t="b">
        <v>1</v>
      </c>
    </row>
    <row r="217" spans="1:24" ht="17" customHeight="1" x14ac:dyDescent="0.2">
      <c r="A217" s="1" t="s">
        <v>122</v>
      </c>
      <c r="B217" s="1" t="s">
        <v>122</v>
      </c>
      <c r="C217" s="1" t="s">
        <v>92</v>
      </c>
      <c r="D217" s="1">
        <v>30</v>
      </c>
      <c r="E217" s="1">
        <v>38</v>
      </c>
      <c r="F217" s="1" t="s">
        <v>92</v>
      </c>
      <c r="G217" s="1" t="s">
        <v>123</v>
      </c>
      <c r="I217" s="1" t="s">
        <v>22</v>
      </c>
      <c r="J217" s="1" t="s">
        <v>658</v>
      </c>
      <c r="K217" s="1">
        <v>5646</v>
      </c>
      <c r="L217" s="1">
        <v>5672</v>
      </c>
      <c r="M217" s="1" t="s">
        <v>125</v>
      </c>
      <c r="N217" s="1" t="s">
        <v>126</v>
      </c>
      <c r="O217" s="1" t="s">
        <v>26</v>
      </c>
      <c r="P217" s="1" t="s">
        <v>125</v>
      </c>
      <c r="Q217" s="1">
        <v>4868</v>
      </c>
      <c r="R217" s="1">
        <v>4894</v>
      </c>
      <c r="S217" s="1" t="s">
        <v>122</v>
      </c>
      <c r="T217" s="1" t="s">
        <v>122</v>
      </c>
      <c r="U217" s="1">
        <v>0</v>
      </c>
      <c r="V217" s="1">
        <v>0</v>
      </c>
      <c r="W217" s="1">
        <v>0</v>
      </c>
      <c r="X217" s="4" t="b">
        <v>1</v>
      </c>
    </row>
    <row r="218" spans="1:24" ht="17" customHeight="1" x14ac:dyDescent="0.2">
      <c r="A218" s="1" t="s">
        <v>1400</v>
      </c>
      <c r="B218" s="1" t="s">
        <v>1400</v>
      </c>
      <c r="C218" s="1" t="s">
        <v>92</v>
      </c>
      <c r="D218" s="1">
        <v>31</v>
      </c>
      <c r="E218" s="1">
        <v>39</v>
      </c>
      <c r="F218" s="1" t="s">
        <v>92</v>
      </c>
      <c r="G218" s="1" t="s">
        <v>1401</v>
      </c>
      <c r="I218" s="1" t="s">
        <v>22</v>
      </c>
      <c r="J218" s="1" t="s">
        <v>1838</v>
      </c>
      <c r="K218" s="1">
        <v>5649</v>
      </c>
      <c r="L218" s="1">
        <v>5675</v>
      </c>
      <c r="M218" s="1" t="s">
        <v>1402</v>
      </c>
      <c r="N218" s="1" t="s">
        <v>1402</v>
      </c>
      <c r="O218" s="1" t="s">
        <v>1403</v>
      </c>
      <c r="P218" s="1" t="s">
        <v>1402</v>
      </c>
      <c r="Q218" s="1">
        <v>4871</v>
      </c>
      <c r="R218" s="1">
        <v>4897</v>
      </c>
      <c r="S218" s="1" t="s">
        <v>1400</v>
      </c>
      <c r="T218" s="1" t="s">
        <v>1400</v>
      </c>
      <c r="U218" s="1">
        <v>0</v>
      </c>
      <c r="V218" s="1">
        <v>0</v>
      </c>
      <c r="W218" s="1">
        <v>0</v>
      </c>
      <c r="X218" s="4" t="b">
        <v>1</v>
      </c>
    </row>
    <row r="219" spans="1:24" ht="17" customHeight="1" x14ac:dyDescent="0.2">
      <c r="A219" s="1" t="s">
        <v>298</v>
      </c>
      <c r="B219" s="1" t="s">
        <v>298</v>
      </c>
      <c r="C219" s="1" t="s">
        <v>92</v>
      </c>
      <c r="D219" s="1">
        <v>34</v>
      </c>
      <c r="E219" s="1">
        <v>42</v>
      </c>
      <c r="F219" s="1" t="s">
        <v>92</v>
      </c>
      <c r="G219" s="1" t="s">
        <v>299</v>
      </c>
      <c r="I219" s="1" t="s">
        <v>22</v>
      </c>
      <c r="J219" s="1" t="s">
        <v>300</v>
      </c>
      <c r="K219" s="1">
        <v>5658</v>
      </c>
      <c r="L219" s="1">
        <v>5684</v>
      </c>
      <c r="M219" s="1" t="s">
        <v>301</v>
      </c>
      <c r="N219" s="1" t="s">
        <v>302</v>
      </c>
      <c r="O219" s="1" t="s">
        <v>303</v>
      </c>
      <c r="P219" s="1" t="s">
        <v>301</v>
      </c>
      <c r="Q219" s="1">
        <v>4880</v>
      </c>
      <c r="R219" s="1">
        <v>4906</v>
      </c>
      <c r="S219" s="1" t="s">
        <v>304</v>
      </c>
      <c r="T219" s="1" t="s">
        <v>298</v>
      </c>
      <c r="U219" s="1">
        <v>1</v>
      </c>
      <c r="V219" s="1">
        <v>0</v>
      </c>
      <c r="W219" s="1">
        <v>1</v>
      </c>
      <c r="X219" s="4" t="b">
        <v>1</v>
      </c>
    </row>
    <row r="220" spans="1:24" ht="17" customHeight="1" x14ac:dyDescent="0.2">
      <c r="A220" s="1" t="s">
        <v>298</v>
      </c>
      <c r="B220" s="1" t="s">
        <v>298</v>
      </c>
      <c r="C220" s="1" t="s">
        <v>92</v>
      </c>
      <c r="D220" s="1">
        <v>34</v>
      </c>
      <c r="E220" s="1">
        <v>42</v>
      </c>
      <c r="G220" s="1" t="s">
        <v>299</v>
      </c>
      <c r="I220" s="1" t="s">
        <v>22</v>
      </c>
      <c r="J220" s="1" t="s">
        <v>1705</v>
      </c>
      <c r="K220" s="1">
        <v>5658</v>
      </c>
      <c r="L220" s="1">
        <v>5684</v>
      </c>
      <c r="M220" s="1" t="s">
        <v>1595</v>
      </c>
      <c r="N220" s="1" t="s">
        <v>1595</v>
      </c>
      <c r="O220" s="1" t="s">
        <v>1531</v>
      </c>
      <c r="P220" s="1" t="s">
        <v>1706</v>
      </c>
      <c r="Q220" s="1">
        <v>4880</v>
      </c>
      <c r="R220" s="1">
        <v>4906</v>
      </c>
      <c r="S220" s="1" t="s">
        <v>304</v>
      </c>
      <c r="T220" s="1" t="s">
        <v>298</v>
      </c>
      <c r="U220" s="1">
        <v>1</v>
      </c>
      <c r="V220" s="1">
        <v>0</v>
      </c>
      <c r="W220" s="1">
        <v>1</v>
      </c>
      <c r="X220" s="4" t="b">
        <v>1</v>
      </c>
    </row>
    <row r="221" spans="1:24" ht="17" customHeight="1" x14ac:dyDescent="0.2">
      <c r="A221" s="2" t="s">
        <v>244</v>
      </c>
      <c r="B221" s="1" t="s">
        <v>244</v>
      </c>
      <c r="C221" s="1" t="s">
        <v>92</v>
      </c>
      <c r="D221" s="1">
        <v>48</v>
      </c>
      <c r="E221" s="1">
        <v>57</v>
      </c>
      <c r="F221" s="1" t="s">
        <v>92</v>
      </c>
      <c r="G221" s="1" t="s">
        <v>245</v>
      </c>
      <c r="I221" s="1" t="s">
        <v>22</v>
      </c>
      <c r="J221" s="1" t="s">
        <v>166</v>
      </c>
      <c r="K221" s="1">
        <v>5700</v>
      </c>
      <c r="L221" s="1">
        <v>5729</v>
      </c>
      <c r="M221" s="1" t="s">
        <v>246</v>
      </c>
      <c r="N221" s="1" t="e">
        <v>#N/A</v>
      </c>
      <c r="O221" s="1" t="s">
        <v>247</v>
      </c>
      <c r="P221" s="1" t="s">
        <v>246</v>
      </c>
      <c r="Q221" s="1">
        <v>4922</v>
      </c>
      <c r="R221" s="1">
        <v>4951</v>
      </c>
      <c r="S221" s="1" t="s">
        <v>248</v>
      </c>
      <c r="T221" s="1" t="s">
        <v>248</v>
      </c>
      <c r="U221" s="1">
        <v>1</v>
      </c>
      <c r="V221" s="1">
        <v>1</v>
      </c>
      <c r="W221" s="1">
        <v>0</v>
      </c>
      <c r="X221" s="4" t="b">
        <v>0</v>
      </c>
    </row>
    <row r="222" spans="1:24" ht="17" customHeight="1" x14ac:dyDescent="0.2">
      <c r="A222" s="1" t="s">
        <v>171</v>
      </c>
      <c r="B222" s="1" t="s">
        <v>171</v>
      </c>
      <c r="C222" s="1" t="s">
        <v>92</v>
      </c>
      <c r="D222" s="1">
        <v>52</v>
      </c>
      <c r="E222" s="1">
        <v>62</v>
      </c>
      <c r="F222" s="1" t="s">
        <v>92</v>
      </c>
      <c r="G222" s="1" t="s">
        <v>172</v>
      </c>
      <c r="I222" s="1" t="s">
        <v>22</v>
      </c>
      <c r="J222" s="1" t="s">
        <v>173</v>
      </c>
      <c r="K222" s="1">
        <v>5712</v>
      </c>
      <c r="L222" s="1">
        <v>5744</v>
      </c>
      <c r="M222" s="1" t="s">
        <v>174</v>
      </c>
      <c r="N222" s="1" t="e">
        <v>#N/A</v>
      </c>
      <c r="O222" s="1" t="s">
        <v>175</v>
      </c>
      <c r="P222" s="1" t="s">
        <v>174</v>
      </c>
      <c r="Q222" s="1">
        <v>4934</v>
      </c>
      <c r="R222" s="1">
        <v>4966</v>
      </c>
      <c r="S222" s="1" t="s">
        <v>171</v>
      </c>
      <c r="T222" s="1" t="s">
        <v>171</v>
      </c>
      <c r="U222" s="1">
        <v>0</v>
      </c>
      <c r="V222" s="1">
        <v>0</v>
      </c>
      <c r="W222" s="1">
        <v>0</v>
      </c>
      <c r="X222" s="4" t="b">
        <v>1</v>
      </c>
    </row>
    <row r="223" spans="1:24" ht="17" customHeight="1" x14ac:dyDescent="0.2">
      <c r="A223" s="1" t="s">
        <v>91</v>
      </c>
      <c r="B223" s="1" t="s">
        <v>91</v>
      </c>
      <c r="C223" s="1" t="s">
        <v>92</v>
      </c>
      <c r="D223" s="1">
        <v>59</v>
      </c>
      <c r="E223" s="1">
        <v>67</v>
      </c>
      <c r="F223" s="1" t="s">
        <v>92</v>
      </c>
      <c r="G223" s="1" t="s">
        <v>93</v>
      </c>
      <c r="H223" s="1" t="s">
        <v>31</v>
      </c>
      <c r="I223" s="1" t="s">
        <v>22</v>
      </c>
      <c r="J223" s="1" t="s">
        <v>94</v>
      </c>
      <c r="K223" s="1">
        <v>5733</v>
      </c>
      <c r="L223" s="1">
        <v>5759</v>
      </c>
      <c r="M223" s="1" t="s">
        <v>95</v>
      </c>
      <c r="N223" s="1" t="s">
        <v>96</v>
      </c>
      <c r="O223" s="1" t="s">
        <v>97</v>
      </c>
      <c r="P223" s="1" t="s">
        <v>95</v>
      </c>
      <c r="Q223" s="1">
        <v>4955</v>
      </c>
      <c r="R223" s="1">
        <v>4981</v>
      </c>
      <c r="S223" s="1" t="s">
        <v>91</v>
      </c>
      <c r="T223" s="1" t="s">
        <v>91</v>
      </c>
      <c r="U223" s="1">
        <v>0</v>
      </c>
      <c r="V223" s="1">
        <v>0</v>
      </c>
      <c r="W223" s="1">
        <v>0</v>
      </c>
      <c r="X223" s="4" t="b">
        <v>1</v>
      </c>
    </row>
    <row r="224" spans="1:24" ht="17" customHeight="1" x14ac:dyDescent="0.2">
      <c r="A224" s="1" t="s">
        <v>1536</v>
      </c>
      <c r="B224" s="1" t="s">
        <v>1536</v>
      </c>
      <c r="C224" s="1" t="s">
        <v>92</v>
      </c>
      <c r="G224" s="1" t="s">
        <v>1537</v>
      </c>
      <c r="I224" s="1" t="s">
        <v>22</v>
      </c>
      <c r="J224" s="1" t="s">
        <v>1837</v>
      </c>
      <c r="K224" s="1">
        <v>5742</v>
      </c>
      <c r="L224" s="1">
        <v>5768</v>
      </c>
      <c r="M224" s="1" t="s">
        <v>1538</v>
      </c>
      <c r="N224" s="1" t="s">
        <v>1538</v>
      </c>
      <c r="O224" s="1" t="s">
        <v>1531</v>
      </c>
      <c r="P224" s="1" t="s">
        <v>1538</v>
      </c>
      <c r="Q224" s="1">
        <v>4964</v>
      </c>
      <c r="R224" s="1">
        <v>4990</v>
      </c>
      <c r="S224" s="1" t="s">
        <v>1536</v>
      </c>
      <c r="T224" s="1" t="s">
        <v>1536</v>
      </c>
      <c r="W224" s="1">
        <v>0</v>
      </c>
      <c r="X224" s="4" t="b">
        <v>1</v>
      </c>
    </row>
    <row r="225" spans="1:24" ht="17" customHeight="1" x14ac:dyDescent="0.2">
      <c r="A225" s="1" t="s">
        <v>1584</v>
      </c>
      <c r="B225" s="1" t="s">
        <v>1584</v>
      </c>
      <c r="C225" s="1" t="s">
        <v>133</v>
      </c>
      <c r="G225" s="1" t="s">
        <v>1585</v>
      </c>
      <c r="I225" s="1" t="s">
        <v>22</v>
      </c>
      <c r="J225" s="1" t="s">
        <v>1886</v>
      </c>
      <c r="K225" s="1">
        <v>5834</v>
      </c>
      <c r="L225" s="1">
        <v>5863</v>
      </c>
      <c r="M225" s="1" t="s">
        <v>1586</v>
      </c>
      <c r="N225" s="1" t="s">
        <v>1586</v>
      </c>
      <c r="O225" s="1" t="s">
        <v>1531</v>
      </c>
      <c r="P225" s="1" t="s">
        <v>1586</v>
      </c>
      <c r="Q225" s="1">
        <v>5055</v>
      </c>
      <c r="R225" s="1">
        <v>5084</v>
      </c>
      <c r="S225" s="1" t="s">
        <v>1584</v>
      </c>
      <c r="T225" s="1" t="s">
        <v>1584</v>
      </c>
      <c r="W225" s="1">
        <v>0</v>
      </c>
      <c r="X225" s="4" t="b">
        <v>1</v>
      </c>
    </row>
    <row r="226" spans="1:24" ht="17" customHeight="1" x14ac:dyDescent="0.2">
      <c r="A226" s="1" t="s">
        <v>132</v>
      </c>
      <c r="B226" s="1" t="s">
        <v>132</v>
      </c>
      <c r="C226" s="1" t="s">
        <v>133</v>
      </c>
      <c r="D226" s="1">
        <v>30</v>
      </c>
      <c r="E226" s="1">
        <v>37</v>
      </c>
      <c r="F226" s="1" t="s">
        <v>133</v>
      </c>
      <c r="G226" s="1" t="s">
        <v>134</v>
      </c>
      <c r="I226" s="1" t="s">
        <v>22</v>
      </c>
      <c r="J226" s="1" t="s">
        <v>1858</v>
      </c>
      <c r="K226" s="1">
        <v>5918</v>
      </c>
      <c r="L226" s="1">
        <v>5941</v>
      </c>
      <c r="M226" s="1" t="s">
        <v>135</v>
      </c>
      <c r="N226" s="1" t="s">
        <v>135</v>
      </c>
      <c r="O226" s="1" t="s">
        <v>136</v>
      </c>
      <c r="P226" s="1" t="s">
        <v>135</v>
      </c>
      <c r="Q226" s="1">
        <v>5139</v>
      </c>
      <c r="R226" s="1">
        <v>5162</v>
      </c>
      <c r="S226" s="1" t="s">
        <v>132</v>
      </c>
      <c r="T226" s="1" t="s">
        <v>132</v>
      </c>
      <c r="U226" s="1">
        <v>0</v>
      </c>
      <c r="V226" s="1">
        <v>0</v>
      </c>
      <c r="W226" s="1">
        <v>0</v>
      </c>
      <c r="X226" s="4" t="b">
        <v>1</v>
      </c>
    </row>
    <row r="227" spans="1:24" ht="17" customHeight="1" x14ac:dyDescent="0.2">
      <c r="A227" s="1" t="s">
        <v>317</v>
      </c>
      <c r="B227" s="1" t="s">
        <v>317</v>
      </c>
      <c r="C227" s="1" t="s">
        <v>133</v>
      </c>
      <c r="D227" s="1">
        <v>38</v>
      </c>
      <c r="E227" s="1">
        <v>47</v>
      </c>
      <c r="F227" s="1" t="s">
        <v>133</v>
      </c>
      <c r="G227" s="1" t="s">
        <v>318</v>
      </c>
      <c r="I227" s="1" t="s">
        <v>22</v>
      </c>
      <c r="J227" s="1" t="s">
        <v>273</v>
      </c>
      <c r="K227" s="1">
        <v>5942</v>
      </c>
      <c r="L227" s="1">
        <v>5971</v>
      </c>
      <c r="M227" s="1" t="s">
        <v>319</v>
      </c>
      <c r="N227" s="1" t="s">
        <v>319</v>
      </c>
      <c r="O227" s="1" t="s">
        <v>320</v>
      </c>
      <c r="P227" s="1" t="s">
        <v>319</v>
      </c>
      <c r="Q227" s="1">
        <v>5163</v>
      </c>
      <c r="R227" s="1">
        <v>5192</v>
      </c>
      <c r="S227" s="1" t="s">
        <v>321</v>
      </c>
      <c r="T227" s="1" t="s">
        <v>322</v>
      </c>
      <c r="U227" s="1">
        <v>1</v>
      </c>
      <c r="V227" s="1">
        <v>2</v>
      </c>
      <c r="W227" s="1">
        <v>1</v>
      </c>
      <c r="X227" s="4" t="b">
        <v>0</v>
      </c>
    </row>
    <row r="228" spans="1:24" ht="17" customHeight="1" x14ac:dyDescent="0.2">
      <c r="A228" s="1" t="s">
        <v>601</v>
      </c>
      <c r="B228" s="1" t="s">
        <v>601</v>
      </c>
      <c r="C228" s="1" t="s">
        <v>133</v>
      </c>
      <c r="D228" s="1">
        <v>39</v>
      </c>
      <c r="E228" s="1">
        <v>49</v>
      </c>
      <c r="F228" s="1" t="s">
        <v>133</v>
      </c>
      <c r="G228" s="1" t="s">
        <v>602</v>
      </c>
      <c r="I228" s="1" t="s">
        <v>22</v>
      </c>
      <c r="J228" s="1" t="s">
        <v>173</v>
      </c>
      <c r="K228" s="1">
        <v>5945</v>
      </c>
      <c r="L228" s="1">
        <v>5977</v>
      </c>
      <c r="M228" s="1" t="s">
        <v>603</v>
      </c>
      <c r="N228" s="1" t="e">
        <v>#N/A</v>
      </c>
      <c r="O228" s="1" t="s">
        <v>604</v>
      </c>
      <c r="P228" s="1" t="s">
        <v>603</v>
      </c>
      <c r="Q228" s="1">
        <v>5166</v>
      </c>
      <c r="R228" s="1">
        <v>5198</v>
      </c>
      <c r="S228" s="1" t="s">
        <v>601</v>
      </c>
      <c r="T228" s="1" t="s">
        <v>605</v>
      </c>
      <c r="U228" s="1">
        <v>0</v>
      </c>
      <c r="V228" s="1">
        <v>1</v>
      </c>
      <c r="W228" s="1">
        <v>1</v>
      </c>
      <c r="X228" s="4" t="b">
        <v>0</v>
      </c>
    </row>
    <row r="229" spans="1:24" ht="17" customHeight="1" x14ac:dyDescent="0.2">
      <c r="A229" s="1" t="s">
        <v>1677</v>
      </c>
      <c r="B229" s="1" t="s">
        <v>1677</v>
      </c>
      <c r="C229" s="1" t="s">
        <v>213</v>
      </c>
      <c r="D229" s="1">
        <v>10</v>
      </c>
      <c r="E229" s="1">
        <v>18</v>
      </c>
      <c r="G229" s="1" t="s">
        <v>1675</v>
      </c>
      <c r="I229" s="1" t="s">
        <v>22</v>
      </c>
      <c r="J229" s="1" t="s">
        <v>1808</v>
      </c>
      <c r="K229" s="1">
        <v>5997</v>
      </c>
      <c r="L229" s="1">
        <v>6023</v>
      </c>
      <c r="M229" s="1" t="s">
        <v>1676</v>
      </c>
      <c r="N229" s="1" t="s">
        <v>1676</v>
      </c>
      <c r="O229" s="1" t="s">
        <v>1531</v>
      </c>
      <c r="P229" s="1" t="s">
        <v>1676</v>
      </c>
      <c r="Q229" s="1">
        <v>5218</v>
      </c>
      <c r="R229" s="1">
        <v>5244</v>
      </c>
      <c r="S229" s="1" t="s">
        <v>1677</v>
      </c>
      <c r="T229" s="1" t="s">
        <v>1677</v>
      </c>
      <c r="W229" s="1">
        <v>2</v>
      </c>
      <c r="X229" s="4" t="b">
        <v>1</v>
      </c>
    </row>
    <row r="230" spans="1:24" ht="17" customHeight="1" x14ac:dyDescent="0.2">
      <c r="A230" s="1" t="s">
        <v>672</v>
      </c>
      <c r="B230" s="1" t="s">
        <v>672</v>
      </c>
      <c r="C230" s="1" t="s">
        <v>213</v>
      </c>
      <c r="D230" s="1">
        <v>14</v>
      </c>
      <c r="E230" s="1">
        <v>23</v>
      </c>
      <c r="F230" s="1" t="s">
        <v>213</v>
      </c>
      <c r="G230" s="1" t="s">
        <v>673</v>
      </c>
      <c r="H230" s="1" t="s">
        <v>31</v>
      </c>
      <c r="I230" s="1" t="s">
        <v>22</v>
      </c>
      <c r="J230" s="1" t="s">
        <v>1859</v>
      </c>
      <c r="K230" s="1">
        <v>6009</v>
      </c>
      <c r="L230" s="1">
        <v>6038</v>
      </c>
      <c r="M230" s="1" t="s">
        <v>674</v>
      </c>
      <c r="N230" s="1" t="s">
        <v>675</v>
      </c>
      <c r="O230" s="1" t="s">
        <v>676</v>
      </c>
      <c r="P230" s="1" t="s">
        <v>674</v>
      </c>
      <c r="Q230" s="1">
        <v>5230</v>
      </c>
      <c r="R230" s="1">
        <v>5259</v>
      </c>
      <c r="S230" s="1" t="s">
        <v>677</v>
      </c>
      <c r="T230" s="1" t="s">
        <v>678</v>
      </c>
      <c r="U230" s="1">
        <v>1</v>
      </c>
      <c r="V230" s="1">
        <v>3</v>
      </c>
      <c r="W230" s="1">
        <v>2</v>
      </c>
      <c r="X230" s="4" t="b">
        <v>0</v>
      </c>
    </row>
    <row r="231" spans="1:24" ht="17" customHeight="1" x14ac:dyDescent="0.2">
      <c r="A231" s="1" t="s">
        <v>941</v>
      </c>
      <c r="B231" s="1" t="s">
        <v>941</v>
      </c>
      <c r="C231" s="1" t="s">
        <v>213</v>
      </c>
      <c r="D231" s="1">
        <v>14</v>
      </c>
      <c r="E231" s="1">
        <v>23</v>
      </c>
      <c r="F231" s="1" t="s">
        <v>213</v>
      </c>
      <c r="G231" s="1" t="s">
        <v>673</v>
      </c>
      <c r="H231" s="1" t="s">
        <v>942</v>
      </c>
      <c r="I231" s="1" t="s">
        <v>22</v>
      </c>
      <c r="J231" s="1" t="s">
        <v>23</v>
      </c>
      <c r="K231" s="1">
        <v>6009</v>
      </c>
      <c r="L231" s="1">
        <v>6038</v>
      </c>
      <c r="M231" s="1" t="s">
        <v>943</v>
      </c>
      <c r="N231" s="1" t="s">
        <v>675</v>
      </c>
      <c r="O231" s="1" t="s">
        <v>944</v>
      </c>
      <c r="P231" s="1" t="s">
        <v>943</v>
      </c>
      <c r="Q231" s="1">
        <v>5230</v>
      </c>
      <c r="R231" s="1">
        <v>5259</v>
      </c>
      <c r="S231" s="1" t="s">
        <v>677</v>
      </c>
      <c r="T231" s="1" t="s">
        <v>678</v>
      </c>
      <c r="U231" s="1">
        <v>4</v>
      </c>
      <c r="V231" s="1">
        <v>4</v>
      </c>
      <c r="W231" s="1">
        <v>2</v>
      </c>
      <c r="X231" s="4" t="b">
        <v>0</v>
      </c>
    </row>
    <row r="232" spans="1:24" ht="17" customHeight="1" x14ac:dyDescent="0.2">
      <c r="A232" s="1" t="s">
        <v>672</v>
      </c>
      <c r="B232" s="1" t="s">
        <v>672</v>
      </c>
      <c r="C232" s="1" t="s">
        <v>213</v>
      </c>
      <c r="D232" s="1">
        <v>14</v>
      </c>
      <c r="E232" s="1">
        <v>23</v>
      </c>
      <c r="F232" s="1" t="s">
        <v>213</v>
      </c>
      <c r="G232" s="1" t="s">
        <v>673</v>
      </c>
      <c r="H232" s="1" t="s">
        <v>31</v>
      </c>
      <c r="I232" s="1" t="s">
        <v>22</v>
      </c>
      <c r="J232" s="1" t="s">
        <v>1712</v>
      </c>
      <c r="K232" s="1">
        <v>6009</v>
      </c>
      <c r="L232" s="1">
        <v>6038</v>
      </c>
      <c r="M232" s="1" t="s">
        <v>1593</v>
      </c>
      <c r="N232" s="1" t="s">
        <v>1593</v>
      </c>
      <c r="O232" s="1" t="s">
        <v>676</v>
      </c>
      <c r="P232" s="1" t="s">
        <v>1730</v>
      </c>
      <c r="Q232" s="1">
        <v>5230</v>
      </c>
      <c r="R232" s="1">
        <v>5259</v>
      </c>
      <c r="S232" s="1" t="s">
        <v>677</v>
      </c>
      <c r="T232" s="1" t="s">
        <v>678</v>
      </c>
      <c r="U232" s="1">
        <v>1</v>
      </c>
      <c r="V232" s="1">
        <v>3</v>
      </c>
      <c r="W232" s="1">
        <v>2</v>
      </c>
      <c r="X232" s="4" t="b">
        <v>0</v>
      </c>
    </row>
    <row r="233" spans="1:24" ht="17" customHeight="1" x14ac:dyDescent="0.2">
      <c r="A233" s="1" t="s">
        <v>672</v>
      </c>
      <c r="B233" s="1" t="s">
        <v>672</v>
      </c>
      <c r="C233" s="1" t="s">
        <v>213</v>
      </c>
      <c r="D233" s="1">
        <v>14</v>
      </c>
      <c r="E233" s="1">
        <v>23</v>
      </c>
      <c r="F233" s="1" t="s">
        <v>213</v>
      </c>
      <c r="G233" s="1" t="s">
        <v>673</v>
      </c>
      <c r="H233" s="1" t="s">
        <v>31</v>
      </c>
      <c r="I233" s="1" t="s">
        <v>22</v>
      </c>
      <c r="J233" s="1" t="s">
        <v>1824</v>
      </c>
      <c r="K233" s="1">
        <v>6009</v>
      </c>
      <c r="L233" s="1">
        <v>6038</v>
      </c>
      <c r="M233" s="1" t="s">
        <v>1728</v>
      </c>
      <c r="N233" s="1" t="e">
        <v>#N/A</v>
      </c>
      <c r="O233" s="1" t="s">
        <v>1729</v>
      </c>
      <c r="P233" s="1" t="s">
        <v>1728</v>
      </c>
      <c r="Q233" s="1">
        <v>5230</v>
      </c>
      <c r="R233" s="1">
        <v>5259</v>
      </c>
      <c r="S233" s="1" t="s">
        <v>677</v>
      </c>
      <c r="T233" s="1" t="s">
        <v>678</v>
      </c>
      <c r="U233" s="1">
        <v>1</v>
      </c>
      <c r="V233" s="1">
        <v>3</v>
      </c>
      <c r="W233" s="1">
        <v>2</v>
      </c>
      <c r="X233" s="4" t="b">
        <v>0</v>
      </c>
    </row>
    <row r="234" spans="1:24" ht="17" customHeight="1" x14ac:dyDescent="0.2">
      <c r="A234" s="1" t="s">
        <v>1492</v>
      </c>
      <c r="B234" s="1" t="s">
        <v>1492</v>
      </c>
      <c r="C234" s="1" t="s">
        <v>265</v>
      </c>
      <c r="D234" s="1">
        <v>5</v>
      </c>
      <c r="E234" s="1">
        <v>13</v>
      </c>
      <c r="F234" s="1" t="s">
        <v>265</v>
      </c>
      <c r="G234" s="1" t="s">
        <v>1493</v>
      </c>
      <c r="H234" s="1" t="s">
        <v>942</v>
      </c>
      <c r="I234" s="1" t="s">
        <v>22</v>
      </c>
      <c r="J234" s="1" t="s">
        <v>1835</v>
      </c>
      <c r="K234" s="1">
        <v>6074</v>
      </c>
      <c r="L234" s="1">
        <v>6100</v>
      </c>
      <c r="M234" s="1" t="s">
        <v>1494</v>
      </c>
      <c r="N234" s="1" t="s">
        <v>1494</v>
      </c>
      <c r="O234" s="1" t="s">
        <v>1495</v>
      </c>
      <c r="P234" s="1" t="s">
        <v>1494</v>
      </c>
      <c r="Q234" s="1">
        <v>5295</v>
      </c>
      <c r="R234" s="1">
        <v>5321</v>
      </c>
      <c r="S234" s="1" t="s">
        <v>1496</v>
      </c>
      <c r="T234" s="1" t="s">
        <v>1497</v>
      </c>
      <c r="U234" s="1">
        <v>6</v>
      </c>
      <c r="V234" s="1">
        <v>7</v>
      </c>
      <c r="W234" s="1">
        <v>2</v>
      </c>
      <c r="X234" s="4" t="b">
        <v>0</v>
      </c>
    </row>
    <row r="235" spans="1:24" ht="17" customHeight="1" x14ac:dyDescent="0.2">
      <c r="A235" s="1" t="s">
        <v>264</v>
      </c>
      <c r="B235" s="1" t="s">
        <v>264</v>
      </c>
      <c r="C235" s="1" t="s">
        <v>265</v>
      </c>
      <c r="D235" s="1">
        <v>29</v>
      </c>
      <c r="E235" s="1">
        <v>37</v>
      </c>
      <c r="F235" s="1" t="s">
        <v>265</v>
      </c>
      <c r="G235" s="1" t="s">
        <v>266</v>
      </c>
      <c r="I235" s="1" t="s">
        <v>22</v>
      </c>
      <c r="J235" s="1" t="s">
        <v>252</v>
      </c>
      <c r="K235" s="1">
        <v>6146</v>
      </c>
      <c r="L235" s="1">
        <v>6172</v>
      </c>
      <c r="M235" s="1" t="s">
        <v>267</v>
      </c>
      <c r="N235" s="1" t="s">
        <v>268</v>
      </c>
      <c r="O235" s="1" t="s">
        <v>269</v>
      </c>
      <c r="P235" s="1" t="s">
        <v>267</v>
      </c>
      <c r="Q235" s="1">
        <v>5367</v>
      </c>
      <c r="R235" s="1">
        <v>5393</v>
      </c>
      <c r="S235" s="1" t="s">
        <v>264</v>
      </c>
      <c r="T235" s="1" t="s">
        <v>264</v>
      </c>
      <c r="U235" s="1">
        <v>0</v>
      </c>
      <c r="V235" s="1">
        <v>0</v>
      </c>
      <c r="W235" s="1">
        <v>0</v>
      </c>
      <c r="X235" s="4" t="b">
        <v>1</v>
      </c>
    </row>
    <row r="236" spans="1:24" ht="17" customHeight="1" x14ac:dyDescent="0.2">
      <c r="A236" s="1" t="s">
        <v>1146</v>
      </c>
      <c r="B236" s="1" t="s">
        <v>1146</v>
      </c>
      <c r="C236" s="1" t="s">
        <v>50</v>
      </c>
      <c r="D236" s="1">
        <v>2</v>
      </c>
      <c r="E236" s="1">
        <v>10</v>
      </c>
      <c r="F236" s="1" t="s">
        <v>1147</v>
      </c>
      <c r="G236" s="1" t="s">
        <v>1148</v>
      </c>
      <c r="I236" s="1" t="s">
        <v>22</v>
      </c>
      <c r="J236" s="1" t="s">
        <v>145</v>
      </c>
      <c r="K236" s="1">
        <v>6228</v>
      </c>
      <c r="L236" s="1">
        <v>6254</v>
      </c>
      <c r="M236" s="1" t="s">
        <v>1149</v>
      </c>
      <c r="N236" s="1" t="s">
        <v>1150</v>
      </c>
      <c r="O236" s="1" t="s">
        <v>1151</v>
      </c>
      <c r="P236" s="1" t="s">
        <v>1149</v>
      </c>
      <c r="Q236" s="1">
        <v>5458</v>
      </c>
      <c r="R236" s="1">
        <v>5484</v>
      </c>
      <c r="S236" s="1" t="s">
        <v>1152</v>
      </c>
      <c r="T236" s="1" t="s">
        <v>1146</v>
      </c>
      <c r="U236" s="1">
        <v>5</v>
      </c>
      <c r="V236" s="1">
        <v>4</v>
      </c>
      <c r="W236" s="1">
        <v>6</v>
      </c>
      <c r="X236" s="4" t="s">
        <v>439</v>
      </c>
    </row>
    <row r="237" spans="1:24" ht="17" customHeight="1" x14ac:dyDescent="0.2">
      <c r="A237" s="1" t="s">
        <v>49</v>
      </c>
      <c r="B237" s="1" t="s">
        <v>49</v>
      </c>
      <c r="C237" s="1" t="s">
        <v>50</v>
      </c>
      <c r="D237" s="1">
        <v>31</v>
      </c>
      <c r="E237" s="1">
        <v>39</v>
      </c>
      <c r="F237" s="1" t="s">
        <v>51</v>
      </c>
      <c r="G237" s="1" t="s">
        <v>52</v>
      </c>
      <c r="I237" s="1" t="s">
        <v>22</v>
      </c>
      <c r="J237" s="1" t="s">
        <v>1860</v>
      </c>
      <c r="K237" s="1">
        <v>6315</v>
      </c>
      <c r="L237" s="1">
        <v>6341</v>
      </c>
      <c r="M237" s="1" t="s">
        <v>53</v>
      </c>
      <c r="N237" s="1" t="s">
        <v>54</v>
      </c>
      <c r="O237" s="1" t="s">
        <v>26</v>
      </c>
      <c r="P237" s="1" t="s">
        <v>53</v>
      </c>
      <c r="Q237" s="1">
        <v>5533</v>
      </c>
      <c r="R237" s="1">
        <v>5559</v>
      </c>
      <c r="S237" s="1" t="s">
        <v>55</v>
      </c>
      <c r="T237" s="1" t="s">
        <v>56</v>
      </c>
      <c r="U237" s="1">
        <v>1</v>
      </c>
      <c r="V237" s="1">
        <v>2</v>
      </c>
      <c r="W237" s="1">
        <v>1</v>
      </c>
      <c r="X237" s="4" t="b">
        <v>0</v>
      </c>
    </row>
    <row r="238" spans="1:24" ht="17" customHeight="1" x14ac:dyDescent="0.2">
      <c r="A238" s="1" t="s">
        <v>49</v>
      </c>
      <c r="B238" s="1" t="s">
        <v>49</v>
      </c>
      <c r="C238" s="1" t="s">
        <v>50</v>
      </c>
      <c r="D238" s="1">
        <v>31</v>
      </c>
      <c r="E238" s="1">
        <v>39</v>
      </c>
      <c r="F238" s="1" t="s">
        <v>51</v>
      </c>
      <c r="G238" s="1" t="s">
        <v>52</v>
      </c>
      <c r="I238" s="1" t="s">
        <v>22</v>
      </c>
      <c r="J238" s="1" t="s">
        <v>1842</v>
      </c>
      <c r="K238" s="1">
        <v>6315</v>
      </c>
      <c r="L238" s="1">
        <v>6341</v>
      </c>
      <c r="M238" s="1" t="s">
        <v>1574</v>
      </c>
      <c r="N238" s="1" t="s">
        <v>1574</v>
      </c>
      <c r="O238" s="1" t="s">
        <v>26</v>
      </c>
      <c r="P238" s="1" t="s">
        <v>1574</v>
      </c>
      <c r="Q238" s="1">
        <v>5533</v>
      </c>
      <c r="R238" s="1">
        <v>5559</v>
      </c>
      <c r="S238" s="1" t="s">
        <v>55</v>
      </c>
      <c r="T238" s="1" t="s">
        <v>56</v>
      </c>
      <c r="U238" s="1">
        <v>1</v>
      </c>
      <c r="V238" s="1">
        <v>2</v>
      </c>
      <c r="W238" s="1">
        <v>1</v>
      </c>
      <c r="X238" s="4" t="b">
        <v>0</v>
      </c>
    </row>
    <row r="239" spans="1:24" ht="17" customHeight="1" x14ac:dyDescent="0.2">
      <c r="A239" s="1" t="s">
        <v>57</v>
      </c>
      <c r="B239" s="1" t="s">
        <v>57</v>
      </c>
      <c r="C239" s="1" t="s">
        <v>50</v>
      </c>
      <c r="D239" s="1">
        <v>31</v>
      </c>
      <c r="E239" s="1">
        <v>40</v>
      </c>
      <c r="F239" s="1" t="s">
        <v>58</v>
      </c>
      <c r="G239" s="1" t="s">
        <v>59</v>
      </c>
      <c r="I239" s="1" t="s">
        <v>22</v>
      </c>
      <c r="J239" s="1" t="s">
        <v>60</v>
      </c>
      <c r="K239" s="1">
        <v>6315</v>
      </c>
      <c r="L239" s="1">
        <v>6344</v>
      </c>
      <c r="M239" s="1" t="s">
        <v>61</v>
      </c>
      <c r="N239" s="1" t="s">
        <v>62</v>
      </c>
      <c r="O239" s="1" t="s">
        <v>26</v>
      </c>
      <c r="P239" s="1" t="s">
        <v>61</v>
      </c>
      <c r="Q239" s="1">
        <v>5533</v>
      </c>
      <c r="R239" s="1">
        <v>5562</v>
      </c>
      <c r="S239" s="1" t="s">
        <v>63</v>
      </c>
      <c r="T239" s="1" t="s">
        <v>64</v>
      </c>
      <c r="U239" s="1">
        <v>1</v>
      </c>
      <c r="V239" s="1">
        <v>2</v>
      </c>
      <c r="W239" s="1">
        <v>1</v>
      </c>
      <c r="X239" s="4" t="b">
        <v>0</v>
      </c>
    </row>
    <row r="240" spans="1:24" ht="17" customHeight="1" x14ac:dyDescent="0.2">
      <c r="A240" s="1" t="s">
        <v>1311</v>
      </c>
      <c r="B240" s="1" t="s">
        <v>1311</v>
      </c>
      <c r="C240" s="1" t="s">
        <v>50</v>
      </c>
      <c r="D240" s="1">
        <v>37</v>
      </c>
      <c r="E240" s="1">
        <v>46</v>
      </c>
      <c r="F240" s="1" t="s">
        <v>1312</v>
      </c>
      <c r="G240" s="1" t="s">
        <v>1313</v>
      </c>
      <c r="H240" s="1" t="s">
        <v>31</v>
      </c>
      <c r="I240" s="1" t="s">
        <v>22</v>
      </c>
      <c r="J240" s="1" t="s">
        <v>1849</v>
      </c>
      <c r="K240" s="1">
        <v>6333</v>
      </c>
      <c r="L240" s="1">
        <v>6362</v>
      </c>
      <c r="M240" s="1" t="s">
        <v>1314</v>
      </c>
      <c r="N240" s="1" t="s">
        <v>1315</v>
      </c>
      <c r="O240" s="1" t="s">
        <v>1316</v>
      </c>
      <c r="P240" s="1" t="s">
        <v>1314</v>
      </c>
      <c r="Q240" s="1">
        <v>5551</v>
      </c>
      <c r="R240" s="1">
        <v>5580</v>
      </c>
      <c r="S240" s="1" t="s">
        <v>1311</v>
      </c>
      <c r="T240" s="1" t="s">
        <v>1311</v>
      </c>
      <c r="U240" s="1">
        <v>0</v>
      </c>
      <c r="V240" s="1">
        <v>0</v>
      </c>
      <c r="W240" s="1">
        <v>0</v>
      </c>
      <c r="X240" s="4" t="b">
        <v>1</v>
      </c>
    </row>
    <row r="241" spans="1:24" ht="17" customHeight="1" x14ac:dyDescent="0.2">
      <c r="A241" s="1" t="s">
        <v>1377</v>
      </c>
      <c r="B241" s="1" t="s">
        <v>1377</v>
      </c>
      <c r="C241" s="1" t="s">
        <v>50</v>
      </c>
      <c r="D241" s="1">
        <v>42</v>
      </c>
      <c r="E241" s="1">
        <v>51</v>
      </c>
      <c r="F241" s="1" t="s">
        <v>1378</v>
      </c>
      <c r="G241" s="1" t="s">
        <v>1379</v>
      </c>
      <c r="I241" s="1" t="s">
        <v>22</v>
      </c>
      <c r="J241" s="1" t="s">
        <v>1380</v>
      </c>
      <c r="K241" s="1">
        <v>6348</v>
      </c>
      <c r="L241" s="1">
        <v>6377</v>
      </c>
      <c r="M241" s="1" t="s">
        <v>1381</v>
      </c>
      <c r="N241" s="1" t="s">
        <v>1382</v>
      </c>
      <c r="O241" s="1" t="s">
        <v>1383</v>
      </c>
      <c r="P241" s="1" t="s">
        <v>1381</v>
      </c>
      <c r="Q241" s="1">
        <v>5566</v>
      </c>
      <c r="R241" s="1">
        <v>5595</v>
      </c>
      <c r="S241" s="1" t="s">
        <v>1377</v>
      </c>
      <c r="T241" s="1" t="s">
        <v>1377</v>
      </c>
      <c r="U241" s="1">
        <v>0</v>
      </c>
      <c r="V241" s="1">
        <v>0</v>
      </c>
      <c r="W241" s="1">
        <v>0</v>
      </c>
      <c r="X241" s="4" t="b">
        <v>1</v>
      </c>
    </row>
    <row r="242" spans="1:24" ht="17" customHeight="1" x14ac:dyDescent="0.2">
      <c r="A242" s="1" t="s">
        <v>1384</v>
      </c>
      <c r="B242" s="1" t="s">
        <v>1384</v>
      </c>
      <c r="C242" s="1" t="s">
        <v>50</v>
      </c>
      <c r="D242" s="1">
        <v>42</v>
      </c>
      <c r="E242" s="1">
        <v>52</v>
      </c>
      <c r="F242" s="1" t="s">
        <v>1385</v>
      </c>
      <c r="G242" s="1" t="s">
        <v>1386</v>
      </c>
      <c r="I242" s="1" t="s">
        <v>22</v>
      </c>
      <c r="J242" s="1" t="s">
        <v>1807</v>
      </c>
      <c r="K242" s="1">
        <v>6348</v>
      </c>
      <c r="L242" s="1">
        <v>6380</v>
      </c>
      <c r="M242" s="1" t="s">
        <v>1387</v>
      </c>
      <c r="N242" s="1" t="s">
        <v>1388</v>
      </c>
      <c r="O242" s="1" t="s">
        <v>1389</v>
      </c>
      <c r="P242" s="1" t="s">
        <v>1387</v>
      </c>
      <c r="Q242" s="1">
        <v>5566</v>
      </c>
      <c r="R242" s="1">
        <v>5598</v>
      </c>
      <c r="S242" s="1" t="s">
        <v>1384</v>
      </c>
      <c r="T242" s="1" t="s">
        <v>1384</v>
      </c>
      <c r="U242" s="1">
        <v>0</v>
      </c>
      <c r="V242" s="1">
        <v>0</v>
      </c>
      <c r="W242" s="1">
        <v>0</v>
      </c>
      <c r="X242" s="4" t="b">
        <v>1</v>
      </c>
    </row>
    <row r="243" spans="1:24" ht="17" customHeight="1" x14ac:dyDescent="0.2">
      <c r="A243" s="1" t="s">
        <v>789</v>
      </c>
      <c r="B243" s="1" t="s">
        <v>789</v>
      </c>
      <c r="C243" s="1" t="s">
        <v>50</v>
      </c>
      <c r="D243" s="1">
        <v>52</v>
      </c>
      <c r="E243" s="1">
        <v>61</v>
      </c>
      <c r="F243" s="1" t="s">
        <v>790</v>
      </c>
      <c r="G243" s="1" t="s">
        <v>791</v>
      </c>
      <c r="H243" s="1" t="s">
        <v>31</v>
      </c>
      <c r="I243" s="1" t="s">
        <v>22</v>
      </c>
      <c r="J243" s="1" t="s">
        <v>775</v>
      </c>
      <c r="K243" s="1">
        <v>6378</v>
      </c>
      <c r="L243" s="1">
        <v>6407</v>
      </c>
      <c r="M243" s="1" t="s">
        <v>792</v>
      </c>
      <c r="N243" s="1" t="s">
        <v>793</v>
      </c>
      <c r="O243" s="1" t="s">
        <v>794</v>
      </c>
      <c r="P243" s="1" t="s">
        <v>792</v>
      </c>
      <c r="Q243" s="1">
        <v>5596</v>
      </c>
      <c r="R243" s="1">
        <v>5625</v>
      </c>
      <c r="S243" s="1" t="s">
        <v>789</v>
      </c>
      <c r="T243" s="1" t="s">
        <v>789</v>
      </c>
      <c r="U243" s="1">
        <v>0</v>
      </c>
      <c r="V243" s="1">
        <v>0</v>
      </c>
      <c r="W243" s="1">
        <v>0</v>
      </c>
      <c r="X243" s="4" t="b">
        <v>1</v>
      </c>
    </row>
    <row r="244" spans="1:24" ht="17" customHeight="1" x14ac:dyDescent="0.2">
      <c r="A244" s="1" t="s">
        <v>679</v>
      </c>
      <c r="B244" s="1" t="s">
        <v>679</v>
      </c>
      <c r="C244" s="1" t="s">
        <v>50</v>
      </c>
      <c r="D244" s="1">
        <v>59</v>
      </c>
      <c r="E244" s="1">
        <v>69</v>
      </c>
      <c r="F244" s="1" t="s">
        <v>680</v>
      </c>
      <c r="G244" s="1" t="s">
        <v>681</v>
      </c>
      <c r="I244" s="1" t="s">
        <v>22</v>
      </c>
      <c r="J244" s="1" t="s">
        <v>1823</v>
      </c>
      <c r="K244" s="1">
        <v>6399</v>
      </c>
      <c r="L244" s="1">
        <v>6431</v>
      </c>
      <c r="M244" s="1" t="s">
        <v>682</v>
      </c>
      <c r="N244" s="1" t="s">
        <v>682</v>
      </c>
      <c r="O244" s="1" t="s">
        <v>683</v>
      </c>
      <c r="P244" s="1" t="s">
        <v>682</v>
      </c>
      <c r="Q244" s="1">
        <v>5617</v>
      </c>
      <c r="R244" s="1">
        <v>5649</v>
      </c>
      <c r="S244" s="1" t="s">
        <v>684</v>
      </c>
      <c r="T244" s="1" t="s">
        <v>684</v>
      </c>
      <c r="U244" s="1">
        <v>1</v>
      </c>
      <c r="V244" s="1">
        <v>1</v>
      </c>
      <c r="W244" s="1">
        <v>0</v>
      </c>
      <c r="X244" s="4" t="b">
        <v>0</v>
      </c>
    </row>
    <row r="245" spans="1:24" ht="17" customHeight="1" x14ac:dyDescent="0.2">
      <c r="A245" s="1" t="s">
        <v>1457</v>
      </c>
      <c r="B245" s="1" t="s">
        <v>1457</v>
      </c>
      <c r="C245" s="1" t="s">
        <v>50</v>
      </c>
      <c r="D245" s="1">
        <v>61</v>
      </c>
      <c r="E245" s="1">
        <v>69</v>
      </c>
      <c r="F245" s="1" t="s">
        <v>1458</v>
      </c>
      <c r="G245" s="1" t="s">
        <v>1459</v>
      </c>
      <c r="I245" s="1" t="s">
        <v>22</v>
      </c>
      <c r="J245" s="1" t="s">
        <v>333</v>
      </c>
      <c r="K245" s="1">
        <v>6405</v>
      </c>
      <c r="L245" s="1">
        <v>6431</v>
      </c>
      <c r="M245" s="1" t="s">
        <v>1460</v>
      </c>
      <c r="N245" s="1" t="s">
        <v>1461</v>
      </c>
      <c r="O245" s="1" t="s">
        <v>1462</v>
      </c>
      <c r="P245" s="1" t="s">
        <v>1460</v>
      </c>
      <c r="Q245" s="1">
        <v>5623</v>
      </c>
      <c r="R245" s="1">
        <v>5649</v>
      </c>
      <c r="S245" s="1" t="s">
        <v>1463</v>
      </c>
      <c r="T245" s="1" t="s">
        <v>1463</v>
      </c>
      <c r="U245" s="1">
        <v>1</v>
      </c>
      <c r="V245" s="1">
        <v>1</v>
      </c>
      <c r="W245" s="1">
        <v>0</v>
      </c>
      <c r="X245" s="4" t="b">
        <v>0</v>
      </c>
    </row>
    <row r="246" spans="1:24" ht="17" customHeight="1" x14ac:dyDescent="0.2">
      <c r="A246" s="1" t="s">
        <v>149</v>
      </c>
      <c r="B246" s="1" t="s">
        <v>149</v>
      </c>
      <c r="C246" s="1" t="s">
        <v>50</v>
      </c>
      <c r="D246" s="1">
        <v>78</v>
      </c>
      <c r="E246" s="1">
        <v>86</v>
      </c>
      <c r="F246" s="1" t="s">
        <v>150</v>
      </c>
      <c r="G246" s="1" t="s">
        <v>151</v>
      </c>
      <c r="I246" s="1" t="s">
        <v>22</v>
      </c>
      <c r="J246" s="1" t="s">
        <v>1802</v>
      </c>
      <c r="K246" s="1">
        <v>6456</v>
      </c>
      <c r="L246" s="1">
        <v>6482</v>
      </c>
      <c r="M246" s="1" t="s">
        <v>153</v>
      </c>
      <c r="N246" s="1" t="s">
        <v>154</v>
      </c>
      <c r="O246" s="1" t="s">
        <v>155</v>
      </c>
      <c r="P246" s="1" t="s">
        <v>153</v>
      </c>
      <c r="Q246" s="1">
        <v>5674</v>
      </c>
      <c r="R246" s="1">
        <v>5700</v>
      </c>
      <c r="S246" s="1" t="s">
        <v>149</v>
      </c>
      <c r="T246" s="1" t="s">
        <v>149</v>
      </c>
      <c r="U246" s="1">
        <v>0</v>
      </c>
      <c r="V246" s="1">
        <v>0</v>
      </c>
      <c r="W246" s="1">
        <v>0</v>
      </c>
      <c r="X246" s="4" t="b">
        <v>1</v>
      </c>
    </row>
    <row r="247" spans="1:24" ht="17" customHeight="1" x14ac:dyDescent="0.2">
      <c r="A247" s="1" t="s">
        <v>870</v>
      </c>
      <c r="B247" s="1" t="s">
        <v>870</v>
      </c>
      <c r="C247" s="1" t="s">
        <v>50</v>
      </c>
      <c r="D247" s="1">
        <v>104</v>
      </c>
      <c r="E247" s="1">
        <v>112</v>
      </c>
      <c r="F247" s="1" t="s">
        <v>871</v>
      </c>
      <c r="G247" s="1" t="s">
        <v>872</v>
      </c>
      <c r="I247" s="1" t="s">
        <v>22</v>
      </c>
      <c r="J247" s="1" t="s">
        <v>873</v>
      </c>
      <c r="K247" s="1">
        <v>6534</v>
      </c>
      <c r="L247" s="1">
        <v>6560</v>
      </c>
      <c r="M247" s="1" t="s">
        <v>874</v>
      </c>
      <c r="N247" s="1" t="e">
        <v>#N/A</v>
      </c>
      <c r="O247" s="1" t="s">
        <v>875</v>
      </c>
      <c r="P247" s="1" t="s">
        <v>874</v>
      </c>
      <c r="Q247" s="1">
        <v>5752</v>
      </c>
      <c r="R247" s="1">
        <v>5778</v>
      </c>
      <c r="S247" s="1" t="s">
        <v>870</v>
      </c>
      <c r="T247" s="1" t="s">
        <v>870</v>
      </c>
      <c r="U247" s="1">
        <v>0</v>
      </c>
      <c r="V247" s="1">
        <v>0</v>
      </c>
      <c r="W247" s="1">
        <v>0</v>
      </c>
      <c r="X247" s="4" t="b">
        <v>1</v>
      </c>
    </row>
    <row r="248" spans="1:24" ht="17" customHeight="1" x14ac:dyDescent="0.2">
      <c r="A248" s="1" t="s">
        <v>719</v>
      </c>
      <c r="B248" s="1" t="s">
        <v>719</v>
      </c>
      <c r="C248" s="1" t="s">
        <v>50</v>
      </c>
      <c r="D248" s="1">
        <v>121</v>
      </c>
      <c r="E248" s="1">
        <v>129</v>
      </c>
      <c r="F248" s="1" t="s">
        <v>720</v>
      </c>
      <c r="G248" s="1" t="s">
        <v>721</v>
      </c>
      <c r="H248" s="1" t="s">
        <v>31</v>
      </c>
      <c r="I248" s="1" t="s">
        <v>22</v>
      </c>
      <c r="J248" s="1" t="s">
        <v>1804</v>
      </c>
      <c r="K248" s="1">
        <v>6585</v>
      </c>
      <c r="L248" s="1">
        <v>6611</v>
      </c>
      <c r="M248" s="1" t="s">
        <v>722</v>
      </c>
      <c r="N248" s="1" t="s">
        <v>723</v>
      </c>
      <c r="O248" s="1" t="s">
        <v>724</v>
      </c>
      <c r="P248" s="1" t="s">
        <v>722</v>
      </c>
      <c r="Q248" s="1">
        <v>5803</v>
      </c>
      <c r="R248" s="1">
        <v>5829</v>
      </c>
      <c r="S248" s="1" t="s">
        <v>719</v>
      </c>
      <c r="T248" s="1" t="s">
        <v>725</v>
      </c>
      <c r="U248" s="1">
        <v>0</v>
      </c>
      <c r="V248" s="1">
        <v>1</v>
      </c>
      <c r="W248" s="1">
        <v>1</v>
      </c>
      <c r="X248" s="4" t="b">
        <v>0</v>
      </c>
    </row>
    <row r="249" spans="1:24" ht="17" customHeight="1" x14ac:dyDescent="0.2">
      <c r="A249" s="1" t="s">
        <v>1231</v>
      </c>
      <c r="B249" s="1" t="s">
        <v>1231</v>
      </c>
      <c r="C249" s="1" t="s">
        <v>50</v>
      </c>
      <c r="D249" s="1">
        <v>199</v>
      </c>
      <c r="E249" s="1">
        <v>207</v>
      </c>
      <c r="F249" s="1" t="s">
        <v>1232</v>
      </c>
      <c r="G249" s="1" t="s">
        <v>1233</v>
      </c>
      <c r="I249" s="1" t="s">
        <v>22</v>
      </c>
      <c r="J249" s="1" t="s">
        <v>40</v>
      </c>
      <c r="K249" s="1">
        <v>6819</v>
      </c>
      <c r="L249" s="1">
        <v>6845</v>
      </c>
      <c r="M249" s="1" t="s">
        <v>1234</v>
      </c>
      <c r="N249" s="1" t="s">
        <v>1235</v>
      </c>
      <c r="O249" s="1" t="s">
        <v>1236</v>
      </c>
      <c r="P249" s="1" t="s">
        <v>1234</v>
      </c>
      <c r="Q249" s="1">
        <v>6037</v>
      </c>
      <c r="R249" s="1">
        <v>6063</v>
      </c>
      <c r="S249" s="1" t="s">
        <v>1231</v>
      </c>
      <c r="T249" s="1" t="s">
        <v>1231</v>
      </c>
      <c r="U249" s="1">
        <v>0</v>
      </c>
      <c r="V249" s="1">
        <v>0</v>
      </c>
      <c r="W249" s="1">
        <v>0</v>
      </c>
      <c r="X249" s="4" t="b">
        <v>1</v>
      </c>
    </row>
    <row r="250" spans="1:24" ht="17" customHeight="1" x14ac:dyDescent="0.2">
      <c r="A250" s="1" t="s">
        <v>1181</v>
      </c>
      <c r="B250" s="1" t="s">
        <v>1181</v>
      </c>
      <c r="C250" s="1" t="s">
        <v>50</v>
      </c>
      <c r="D250" s="1">
        <v>209</v>
      </c>
      <c r="E250" s="1">
        <v>217</v>
      </c>
      <c r="F250" s="1" t="s">
        <v>1182</v>
      </c>
      <c r="G250" s="1" t="s">
        <v>1183</v>
      </c>
      <c r="H250" s="1" t="s">
        <v>31</v>
      </c>
      <c r="I250" s="1" t="s">
        <v>22</v>
      </c>
      <c r="J250" s="1" t="s">
        <v>1184</v>
      </c>
      <c r="K250" s="1">
        <v>6849</v>
      </c>
      <c r="L250" s="1">
        <v>6875</v>
      </c>
      <c r="M250" s="1" t="s">
        <v>1185</v>
      </c>
      <c r="N250" s="1" t="s">
        <v>1186</v>
      </c>
      <c r="O250" s="1" t="s">
        <v>1187</v>
      </c>
      <c r="P250" s="1" t="s">
        <v>1185</v>
      </c>
      <c r="Q250" s="1">
        <v>6067</v>
      </c>
      <c r="R250" s="1">
        <v>6093</v>
      </c>
      <c r="S250" s="1" t="s">
        <v>1181</v>
      </c>
      <c r="T250" s="1" t="s">
        <v>1181</v>
      </c>
      <c r="U250" s="1">
        <v>0</v>
      </c>
      <c r="V250" s="1">
        <v>0</v>
      </c>
      <c r="W250" s="1">
        <v>0</v>
      </c>
      <c r="X250" s="4" t="b">
        <v>1</v>
      </c>
    </row>
    <row r="251" spans="1:24" ht="17" customHeight="1" x14ac:dyDescent="0.2">
      <c r="A251" s="1" t="s">
        <v>127</v>
      </c>
      <c r="B251" s="1" t="s">
        <v>127</v>
      </c>
      <c r="C251" s="1" t="s">
        <v>50</v>
      </c>
      <c r="D251" s="1">
        <v>218</v>
      </c>
      <c r="E251" s="1">
        <v>226</v>
      </c>
      <c r="F251" s="1" t="s">
        <v>128</v>
      </c>
      <c r="G251" s="1" t="s">
        <v>129</v>
      </c>
      <c r="I251" s="1" t="s">
        <v>22</v>
      </c>
      <c r="J251" s="1" t="s">
        <v>1861</v>
      </c>
      <c r="K251" s="1">
        <v>6876</v>
      </c>
      <c r="L251" s="1">
        <v>6902</v>
      </c>
      <c r="M251" s="1" t="s">
        <v>130</v>
      </c>
      <c r="N251" s="1" t="e">
        <v>#N/A</v>
      </c>
      <c r="O251" s="1" t="s">
        <v>131</v>
      </c>
      <c r="P251" s="1" t="s">
        <v>130</v>
      </c>
      <c r="Q251" s="1">
        <v>6094</v>
      </c>
      <c r="R251" s="1">
        <v>6120</v>
      </c>
      <c r="S251" s="1" t="s">
        <v>127</v>
      </c>
      <c r="T251" s="1" t="s">
        <v>127</v>
      </c>
      <c r="U251" s="1">
        <v>0</v>
      </c>
      <c r="V251" s="1">
        <v>0</v>
      </c>
      <c r="W251" s="1">
        <v>0</v>
      </c>
      <c r="X251" s="4" t="b">
        <v>1</v>
      </c>
    </row>
    <row r="252" spans="1:24" ht="17" customHeight="1" x14ac:dyDescent="0.2">
      <c r="A252" s="1" t="s">
        <v>1074</v>
      </c>
      <c r="B252" s="1" t="s">
        <v>1074</v>
      </c>
      <c r="C252" s="1" t="s">
        <v>50</v>
      </c>
      <c r="D252" s="1">
        <v>298</v>
      </c>
      <c r="E252" s="1">
        <v>307</v>
      </c>
      <c r="F252" s="1" t="s">
        <v>1075</v>
      </c>
      <c r="G252" s="1" t="s">
        <v>1076</v>
      </c>
      <c r="H252" s="1" t="s">
        <v>31</v>
      </c>
      <c r="I252" s="1" t="s">
        <v>22</v>
      </c>
      <c r="J252" s="1" t="s">
        <v>307</v>
      </c>
      <c r="K252" s="1">
        <v>7116</v>
      </c>
      <c r="L252" s="1">
        <v>7145</v>
      </c>
      <c r="M252" s="1" t="s">
        <v>1077</v>
      </c>
      <c r="N252" s="1" t="s">
        <v>1078</v>
      </c>
      <c r="O252" s="1" t="s">
        <v>1079</v>
      </c>
      <c r="P252" s="1" t="s">
        <v>1077</v>
      </c>
      <c r="Q252" s="1">
        <v>6334</v>
      </c>
      <c r="R252" s="1">
        <v>6363</v>
      </c>
      <c r="S252" s="1" t="s">
        <v>1074</v>
      </c>
      <c r="T252" s="1" t="s">
        <v>1080</v>
      </c>
      <c r="U252" s="1">
        <v>0</v>
      </c>
      <c r="V252" s="1">
        <v>1</v>
      </c>
      <c r="W252" s="1">
        <v>1</v>
      </c>
      <c r="X252" s="4" t="b">
        <v>0</v>
      </c>
    </row>
    <row r="253" spans="1:24" ht="17" customHeight="1" x14ac:dyDescent="0.2">
      <c r="A253" s="2" t="s">
        <v>1682</v>
      </c>
      <c r="B253" s="1" t="s">
        <v>431</v>
      </c>
      <c r="C253" s="1" t="s">
        <v>50</v>
      </c>
      <c r="D253" s="1">
        <v>310</v>
      </c>
      <c r="E253" s="1">
        <v>318</v>
      </c>
      <c r="F253" s="1" t="s">
        <v>432</v>
      </c>
      <c r="G253" s="1" t="s">
        <v>433</v>
      </c>
      <c r="I253" s="1" t="s">
        <v>22</v>
      </c>
      <c r="J253" s="1" t="s">
        <v>1894</v>
      </c>
      <c r="K253" s="1">
        <v>7152</v>
      </c>
      <c r="L253" s="1">
        <v>7178</v>
      </c>
      <c r="M253" s="1" t="s">
        <v>435</v>
      </c>
      <c r="N253" s="1" t="s">
        <v>436</v>
      </c>
      <c r="O253" s="1" t="s">
        <v>437</v>
      </c>
      <c r="P253" s="1" t="s">
        <v>435</v>
      </c>
      <c r="Q253" s="1">
        <v>6364</v>
      </c>
      <c r="R253" s="1">
        <v>6390</v>
      </c>
      <c r="S253" s="1" t="s">
        <v>431</v>
      </c>
      <c r="T253" s="1" t="s">
        <v>438</v>
      </c>
      <c r="U253" s="1">
        <v>2</v>
      </c>
      <c r="V253" s="1">
        <v>3</v>
      </c>
      <c r="W253" s="1">
        <v>3</v>
      </c>
      <c r="X253" s="4" t="s">
        <v>439</v>
      </c>
    </row>
    <row r="254" spans="1:24" ht="17" customHeight="1" x14ac:dyDescent="0.2">
      <c r="A254" s="2" t="s">
        <v>990</v>
      </c>
      <c r="B254" s="2" t="s">
        <v>990</v>
      </c>
      <c r="C254" s="3" t="s">
        <v>1794</v>
      </c>
      <c r="D254" s="2">
        <v>311</v>
      </c>
      <c r="E254" s="2">
        <v>320</v>
      </c>
      <c r="G254" s="3" t="s">
        <v>991</v>
      </c>
      <c r="J254" s="3" t="s">
        <v>1204</v>
      </c>
      <c r="K254" s="1">
        <v>7155</v>
      </c>
      <c r="L254" s="1">
        <v>7184</v>
      </c>
      <c r="P254" s="1" t="s">
        <v>1795</v>
      </c>
      <c r="Q254" s="1">
        <v>6367</v>
      </c>
      <c r="R254" s="1">
        <v>6396</v>
      </c>
      <c r="S254" s="2" t="s">
        <v>1800</v>
      </c>
      <c r="T254" s="2" t="s">
        <v>990</v>
      </c>
      <c r="X254" s="4" t="s">
        <v>439</v>
      </c>
    </row>
    <row r="255" spans="1:24" ht="17" customHeight="1" x14ac:dyDescent="0.2">
      <c r="A255" s="1" t="s">
        <v>193</v>
      </c>
      <c r="B255" s="1" t="s">
        <v>193</v>
      </c>
      <c r="C255" s="1" t="s">
        <v>50</v>
      </c>
      <c r="D255" s="1">
        <v>321</v>
      </c>
      <c r="E255" s="1">
        <v>330</v>
      </c>
      <c r="F255" s="1" t="s">
        <v>194</v>
      </c>
      <c r="G255" s="1" t="s">
        <v>195</v>
      </c>
      <c r="I255" s="1" t="s">
        <v>22</v>
      </c>
      <c r="J255" s="1" t="s">
        <v>196</v>
      </c>
      <c r="K255" s="1">
        <v>7185</v>
      </c>
      <c r="L255" s="1">
        <v>7214</v>
      </c>
      <c r="M255" s="1" t="s">
        <v>197</v>
      </c>
      <c r="N255" s="1" t="s">
        <v>198</v>
      </c>
      <c r="O255" s="1" t="s">
        <v>26</v>
      </c>
      <c r="P255" s="1" t="s">
        <v>197</v>
      </c>
      <c r="Q255" s="1">
        <v>6397</v>
      </c>
      <c r="R255" s="1">
        <v>6429</v>
      </c>
      <c r="S255" s="1" t="s">
        <v>199</v>
      </c>
      <c r="T255" s="1" t="s">
        <v>200</v>
      </c>
      <c r="U255" s="1">
        <v>2</v>
      </c>
      <c r="V255" s="1">
        <v>6</v>
      </c>
      <c r="W255" s="1">
        <v>4</v>
      </c>
      <c r="X255" s="4" t="b">
        <v>0</v>
      </c>
    </row>
    <row r="256" spans="1:24" ht="17" customHeight="1" x14ac:dyDescent="0.2">
      <c r="A256" s="1" t="s">
        <v>1188</v>
      </c>
      <c r="B256" s="1" t="s">
        <v>1188</v>
      </c>
      <c r="C256" s="1" t="s">
        <v>50</v>
      </c>
      <c r="D256" s="1">
        <v>375</v>
      </c>
      <c r="E256" s="1">
        <v>383</v>
      </c>
      <c r="F256" s="1" t="s">
        <v>1189</v>
      </c>
      <c r="G256" s="1" t="s">
        <v>1190</v>
      </c>
      <c r="H256" s="1" t="s">
        <v>31</v>
      </c>
      <c r="I256" s="1" t="s">
        <v>22</v>
      </c>
      <c r="J256" s="1" t="s">
        <v>1191</v>
      </c>
      <c r="K256" s="1">
        <v>7347</v>
      </c>
      <c r="L256" s="1">
        <v>7373</v>
      </c>
      <c r="M256" s="1" t="s">
        <v>1192</v>
      </c>
      <c r="N256" s="1" t="e">
        <v>#N/A</v>
      </c>
      <c r="O256" s="1" t="s">
        <v>1193</v>
      </c>
      <c r="P256" s="1" t="s">
        <v>1192</v>
      </c>
      <c r="Q256" s="1">
        <v>6559</v>
      </c>
      <c r="R256" s="1">
        <v>6585</v>
      </c>
      <c r="S256" s="1" t="s">
        <v>1188</v>
      </c>
      <c r="T256" s="1" t="s">
        <v>1188</v>
      </c>
      <c r="U256" s="1">
        <v>0</v>
      </c>
      <c r="V256" s="1">
        <v>0</v>
      </c>
      <c r="W256" s="1">
        <v>0</v>
      </c>
      <c r="X256" s="4" t="b">
        <v>1</v>
      </c>
    </row>
    <row r="257" spans="1:24" ht="17" customHeight="1" x14ac:dyDescent="0.2">
      <c r="A257" s="1" t="s">
        <v>1188</v>
      </c>
      <c r="B257" s="1" t="s">
        <v>1188</v>
      </c>
      <c r="C257" s="1" t="s">
        <v>50</v>
      </c>
      <c r="D257" s="1">
        <v>375</v>
      </c>
      <c r="E257" s="1">
        <v>383</v>
      </c>
      <c r="G257" s="1" t="s">
        <v>1190</v>
      </c>
      <c r="I257" s="1" t="s">
        <v>22</v>
      </c>
      <c r="J257" s="1" t="s">
        <v>1751</v>
      </c>
      <c r="K257" s="1">
        <v>7347</v>
      </c>
      <c r="L257" s="1">
        <v>7373</v>
      </c>
      <c r="M257" s="1" t="s">
        <v>1598</v>
      </c>
      <c r="N257" s="1" t="s">
        <v>1598</v>
      </c>
      <c r="O257" s="1" t="s">
        <v>1531</v>
      </c>
      <c r="P257" s="1" t="s">
        <v>1752</v>
      </c>
      <c r="Q257" s="1">
        <v>6559</v>
      </c>
      <c r="R257" s="1">
        <v>6585</v>
      </c>
      <c r="S257" s="1" t="s">
        <v>1188</v>
      </c>
      <c r="T257" s="1" t="s">
        <v>1188</v>
      </c>
      <c r="U257" s="1">
        <v>0</v>
      </c>
      <c r="V257" s="1">
        <v>0</v>
      </c>
      <c r="W257" s="1">
        <v>0</v>
      </c>
      <c r="X257" s="4" t="b">
        <v>1</v>
      </c>
    </row>
    <row r="258" spans="1:24" ht="17" customHeight="1" x14ac:dyDescent="0.2">
      <c r="A258" s="1" t="s">
        <v>1557</v>
      </c>
      <c r="B258" s="1" t="s">
        <v>1557</v>
      </c>
      <c r="C258" s="1" t="s">
        <v>50</v>
      </c>
      <c r="G258" s="1" t="s">
        <v>1558</v>
      </c>
      <c r="I258" s="1" t="s">
        <v>22</v>
      </c>
      <c r="J258" s="1" t="s">
        <v>1862</v>
      </c>
      <c r="K258" s="1">
        <v>7347</v>
      </c>
      <c r="L258" s="1">
        <v>7376</v>
      </c>
      <c r="M258" s="1" t="s">
        <v>1559</v>
      </c>
      <c r="N258" s="1" t="s">
        <v>1559</v>
      </c>
      <c r="O258" s="1" t="s">
        <v>1531</v>
      </c>
      <c r="P258" s="1" t="s">
        <v>1559</v>
      </c>
      <c r="Q258" s="1">
        <v>6559</v>
      </c>
      <c r="R258" s="1">
        <v>6588</v>
      </c>
      <c r="S258" s="1" t="s">
        <v>1557</v>
      </c>
      <c r="T258" s="1" t="s">
        <v>1557</v>
      </c>
      <c r="W258" s="1">
        <v>0</v>
      </c>
      <c r="X258" s="4" t="b">
        <v>1</v>
      </c>
    </row>
    <row r="259" spans="1:24" ht="17" customHeight="1" x14ac:dyDescent="0.2">
      <c r="A259" s="1" t="s">
        <v>1554</v>
      </c>
      <c r="B259" s="1" t="s">
        <v>1554</v>
      </c>
      <c r="C259" s="1" t="s">
        <v>50</v>
      </c>
      <c r="G259" s="1" t="s">
        <v>1555</v>
      </c>
      <c r="I259" s="1" t="s">
        <v>22</v>
      </c>
      <c r="J259" s="1" t="s">
        <v>1862</v>
      </c>
      <c r="K259" s="1">
        <v>7350</v>
      </c>
      <c r="L259" s="1">
        <v>7376</v>
      </c>
      <c r="M259" s="1" t="s">
        <v>1556</v>
      </c>
      <c r="N259" s="1" t="s">
        <v>1556</v>
      </c>
      <c r="O259" s="1" t="s">
        <v>1531</v>
      </c>
      <c r="P259" s="1" t="s">
        <v>1556</v>
      </c>
      <c r="Q259" s="1">
        <v>6562</v>
      </c>
      <c r="R259" s="1">
        <v>6588</v>
      </c>
      <c r="S259" s="1" t="s">
        <v>1554</v>
      </c>
      <c r="T259" s="1" t="s">
        <v>1554</v>
      </c>
      <c r="W259" s="1">
        <v>0</v>
      </c>
      <c r="X259" s="4" t="b">
        <v>1</v>
      </c>
    </row>
    <row r="260" spans="1:24" ht="17" customHeight="1" x14ac:dyDescent="0.2">
      <c r="A260" s="1" t="s">
        <v>812</v>
      </c>
      <c r="B260" s="1" t="s">
        <v>812</v>
      </c>
      <c r="C260" s="1" t="s">
        <v>50</v>
      </c>
      <c r="D260" s="1">
        <v>416</v>
      </c>
      <c r="E260" s="1">
        <v>424</v>
      </c>
      <c r="F260" s="1" t="s">
        <v>813</v>
      </c>
      <c r="G260" s="1" t="s">
        <v>814</v>
      </c>
      <c r="H260" s="1" t="s">
        <v>31</v>
      </c>
      <c r="I260" s="1" t="s">
        <v>22</v>
      </c>
      <c r="J260" s="1" t="s">
        <v>1809</v>
      </c>
      <c r="K260" s="1">
        <v>7470</v>
      </c>
      <c r="L260" s="1">
        <v>7496</v>
      </c>
      <c r="M260" s="1" t="s">
        <v>816</v>
      </c>
      <c r="N260" s="1" t="s">
        <v>817</v>
      </c>
      <c r="O260" s="1" t="s">
        <v>818</v>
      </c>
      <c r="P260" s="1" t="s">
        <v>816</v>
      </c>
      <c r="Q260" s="1">
        <v>6673</v>
      </c>
      <c r="R260" s="1">
        <v>6699</v>
      </c>
      <c r="S260" s="1" t="s">
        <v>812</v>
      </c>
      <c r="T260" s="1" t="s">
        <v>812</v>
      </c>
      <c r="U260" s="1">
        <v>0</v>
      </c>
      <c r="V260" s="1">
        <v>0</v>
      </c>
      <c r="W260" s="1">
        <v>0</v>
      </c>
      <c r="X260" s="4" t="b">
        <v>1</v>
      </c>
    </row>
    <row r="261" spans="1:24" ht="17" customHeight="1" x14ac:dyDescent="0.2">
      <c r="A261" s="1" t="s">
        <v>992</v>
      </c>
      <c r="B261" s="1" t="s">
        <v>992</v>
      </c>
      <c r="C261" s="1" t="s">
        <v>50</v>
      </c>
      <c r="D261" s="1">
        <v>419</v>
      </c>
      <c r="E261" s="1">
        <v>427</v>
      </c>
      <c r="F261" s="1" t="s">
        <v>993</v>
      </c>
      <c r="G261" s="1" t="s">
        <v>994</v>
      </c>
      <c r="H261" s="1" t="s">
        <v>31</v>
      </c>
      <c r="I261" s="1" t="s">
        <v>22</v>
      </c>
      <c r="J261" s="1" t="s">
        <v>908</v>
      </c>
      <c r="K261" s="1">
        <v>7479</v>
      </c>
      <c r="L261" s="1">
        <v>7505</v>
      </c>
      <c r="M261" s="1" t="s">
        <v>995</v>
      </c>
      <c r="N261" s="1" t="s">
        <v>996</v>
      </c>
      <c r="O261" s="1" t="s">
        <v>997</v>
      </c>
      <c r="P261" s="1" t="s">
        <v>995</v>
      </c>
      <c r="Q261" s="1">
        <v>6682</v>
      </c>
      <c r="R261" s="1">
        <v>6708</v>
      </c>
      <c r="S261" s="1" t="s">
        <v>992</v>
      </c>
      <c r="T261" s="1" t="s">
        <v>992</v>
      </c>
      <c r="U261" s="1">
        <v>0</v>
      </c>
      <c r="V261" s="1">
        <v>0</v>
      </c>
      <c r="W261" s="1">
        <v>0</v>
      </c>
      <c r="X261" s="4" t="b">
        <v>1</v>
      </c>
    </row>
    <row r="262" spans="1:24" ht="17" customHeight="1" x14ac:dyDescent="0.2">
      <c r="A262" s="1" t="s">
        <v>976</v>
      </c>
      <c r="B262" s="1" t="s">
        <v>976</v>
      </c>
      <c r="C262" s="1" t="s">
        <v>50</v>
      </c>
      <c r="D262" s="1">
        <v>557</v>
      </c>
      <c r="E262" s="1">
        <v>565</v>
      </c>
      <c r="F262" s="1" t="s">
        <v>977</v>
      </c>
      <c r="G262" s="1" t="s">
        <v>978</v>
      </c>
      <c r="I262" s="1" t="s">
        <v>22</v>
      </c>
      <c r="J262" s="1" t="s">
        <v>1900</v>
      </c>
      <c r="K262" s="1">
        <v>7893</v>
      </c>
      <c r="L262" s="1">
        <v>7919</v>
      </c>
      <c r="M262" s="1" t="s">
        <v>979</v>
      </c>
      <c r="N262" s="1" t="s">
        <v>979</v>
      </c>
      <c r="O262" s="1" t="s">
        <v>980</v>
      </c>
      <c r="P262" s="1" t="s">
        <v>979</v>
      </c>
      <c r="Q262" s="1">
        <v>7099</v>
      </c>
      <c r="R262" s="1">
        <v>7125</v>
      </c>
      <c r="S262" s="1" t="s">
        <v>976</v>
      </c>
      <c r="T262" s="1" t="s">
        <v>976</v>
      </c>
      <c r="U262" s="1">
        <v>0</v>
      </c>
      <c r="V262" s="1">
        <v>0</v>
      </c>
      <c r="W262" s="1">
        <v>0</v>
      </c>
      <c r="X262" s="4" t="b">
        <v>1</v>
      </c>
    </row>
    <row r="263" spans="1:24" ht="17" customHeight="1" x14ac:dyDescent="0.2">
      <c r="A263" s="1" t="s">
        <v>976</v>
      </c>
      <c r="B263" s="1" t="s">
        <v>976</v>
      </c>
      <c r="C263" s="1" t="s">
        <v>50</v>
      </c>
      <c r="D263" s="1">
        <v>557</v>
      </c>
      <c r="E263" s="1">
        <v>565</v>
      </c>
      <c r="G263" s="1" t="s">
        <v>978</v>
      </c>
      <c r="I263" s="1" t="s">
        <v>22</v>
      </c>
      <c r="J263" s="1" t="s">
        <v>1741</v>
      </c>
      <c r="K263" s="1">
        <v>7893</v>
      </c>
      <c r="L263" s="1">
        <v>7919</v>
      </c>
      <c r="M263" s="1" t="s">
        <v>1597</v>
      </c>
      <c r="N263" s="1" t="s">
        <v>1597</v>
      </c>
      <c r="O263" s="1" t="s">
        <v>1531</v>
      </c>
      <c r="P263" s="1" t="s">
        <v>1742</v>
      </c>
      <c r="Q263" s="1">
        <v>7099</v>
      </c>
      <c r="R263" s="1">
        <v>7125</v>
      </c>
      <c r="S263" s="1" t="s">
        <v>976</v>
      </c>
      <c r="T263" s="1" t="s">
        <v>976</v>
      </c>
      <c r="U263" s="1">
        <v>0</v>
      </c>
      <c r="V263" s="1">
        <v>0</v>
      </c>
      <c r="W263" s="1">
        <v>0</v>
      </c>
      <c r="X263" s="4" t="b">
        <v>1</v>
      </c>
    </row>
    <row r="264" spans="1:24" ht="17" customHeight="1" x14ac:dyDescent="0.2">
      <c r="A264" s="1" t="s">
        <v>976</v>
      </c>
      <c r="B264" s="1" t="s">
        <v>976</v>
      </c>
      <c r="C264" s="1" t="s">
        <v>50</v>
      </c>
      <c r="D264" s="1">
        <v>557</v>
      </c>
      <c r="E264" s="1">
        <v>565</v>
      </c>
      <c r="G264" s="1" t="s">
        <v>978</v>
      </c>
      <c r="I264" s="1" t="s">
        <v>22</v>
      </c>
      <c r="J264" s="1" t="s">
        <v>1863</v>
      </c>
      <c r="K264" s="1">
        <v>7893</v>
      </c>
      <c r="L264" s="1">
        <v>7919</v>
      </c>
      <c r="M264" s="1" t="s">
        <v>1603</v>
      </c>
      <c r="N264" s="1" t="s">
        <v>1603</v>
      </c>
      <c r="O264" s="1" t="s">
        <v>1531</v>
      </c>
      <c r="P264" s="1" t="s">
        <v>1603</v>
      </c>
      <c r="Q264" s="1">
        <v>7099</v>
      </c>
      <c r="R264" s="1">
        <v>7125</v>
      </c>
      <c r="S264" s="1" t="s">
        <v>976</v>
      </c>
      <c r="T264" s="1" t="s">
        <v>976</v>
      </c>
      <c r="U264" s="1">
        <v>0</v>
      </c>
      <c r="V264" s="1">
        <v>0</v>
      </c>
      <c r="W264" s="1">
        <v>0</v>
      </c>
      <c r="X264" s="4" t="b">
        <v>1</v>
      </c>
    </row>
    <row r="265" spans="1:24" ht="17" customHeight="1" x14ac:dyDescent="0.2">
      <c r="A265" s="1" t="s">
        <v>981</v>
      </c>
      <c r="B265" s="1" t="s">
        <v>981</v>
      </c>
      <c r="C265" s="1" t="s">
        <v>50</v>
      </c>
      <c r="D265" s="1">
        <v>557</v>
      </c>
      <c r="E265" s="1">
        <v>565</v>
      </c>
      <c r="F265" s="1" t="s">
        <v>977</v>
      </c>
      <c r="G265" s="1" t="s">
        <v>978</v>
      </c>
      <c r="I265" s="1" t="s">
        <v>22</v>
      </c>
      <c r="J265" s="1" t="s">
        <v>1852</v>
      </c>
      <c r="K265" s="1">
        <v>7893</v>
      </c>
      <c r="L265" s="1">
        <v>7919</v>
      </c>
      <c r="M265" s="1" t="s">
        <v>982</v>
      </c>
      <c r="N265" s="1" t="e">
        <v>#N/A</v>
      </c>
      <c r="O265" s="1" t="s">
        <v>983</v>
      </c>
      <c r="P265" s="1" t="s">
        <v>982</v>
      </c>
      <c r="Q265" s="1">
        <v>7099</v>
      </c>
      <c r="R265" s="1">
        <v>7125</v>
      </c>
      <c r="S265" s="1" t="s">
        <v>976</v>
      </c>
      <c r="T265" s="1" t="s">
        <v>976</v>
      </c>
      <c r="U265" s="1">
        <v>1</v>
      </c>
      <c r="V265" s="1">
        <v>1</v>
      </c>
      <c r="W265" s="1">
        <v>0</v>
      </c>
      <c r="X265" s="4" t="b">
        <v>0</v>
      </c>
    </row>
    <row r="266" spans="1:24" ht="17" customHeight="1" x14ac:dyDescent="0.2">
      <c r="A266" s="1" t="s">
        <v>962</v>
      </c>
      <c r="B266" s="1" t="s">
        <v>962</v>
      </c>
      <c r="C266" s="1" t="s">
        <v>50</v>
      </c>
      <c r="D266" s="1">
        <v>577</v>
      </c>
      <c r="E266" s="1">
        <v>587</v>
      </c>
      <c r="F266" s="1" t="s">
        <v>963</v>
      </c>
      <c r="G266" s="1" t="s">
        <v>964</v>
      </c>
      <c r="H266" s="1" t="s">
        <v>942</v>
      </c>
      <c r="I266" s="1" t="s">
        <v>22</v>
      </c>
      <c r="J266" s="1" t="s">
        <v>965</v>
      </c>
      <c r="K266" s="1">
        <v>7953</v>
      </c>
      <c r="L266" s="1">
        <v>7985</v>
      </c>
      <c r="M266" s="1" t="s">
        <v>966</v>
      </c>
      <c r="N266" s="1" t="s">
        <v>967</v>
      </c>
      <c r="O266" s="1" t="s">
        <v>968</v>
      </c>
      <c r="P266" s="1" t="s">
        <v>966</v>
      </c>
      <c r="Q266" s="1">
        <v>7159</v>
      </c>
      <c r="R266" s="1">
        <v>7191</v>
      </c>
      <c r="S266" s="1" t="s">
        <v>969</v>
      </c>
      <c r="T266" s="1" t="s">
        <v>970</v>
      </c>
      <c r="U266" s="1">
        <v>2</v>
      </c>
      <c r="V266" s="1">
        <v>3</v>
      </c>
      <c r="W266" s="1">
        <v>1</v>
      </c>
      <c r="X266" s="4" t="b">
        <v>0</v>
      </c>
    </row>
    <row r="267" spans="1:24" ht="17" customHeight="1" x14ac:dyDescent="0.2">
      <c r="A267" s="1" t="s">
        <v>220</v>
      </c>
      <c r="B267" s="1" t="s">
        <v>221</v>
      </c>
      <c r="C267" s="1" t="s">
        <v>50</v>
      </c>
      <c r="D267" s="1">
        <v>584</v>
      </c>
      <c r="E267" s="1">
        <v>592</v>
      </c>
      <c r="F267" s="1" t="s">
        <v>222</v>
      </c>
      <c r="G267" s="1" t="s">
        <v>223</v>
      </c>
      <c r="I267" s="1" t="s">
        <v>22</v>
      </c>
      <c r="J267" s="1" t="s">
        <v>1816</v>
      </c>
      <c r="K267" s="1">
        <v>7974</v>
      </c>
      <c r="L267" s="1">
        <v>8000</v>
      </c>
      <c r="M267" s="1" t="s">
        <v>224</v>
      </c>
      <c r="N267" s="1" t="s">
        <v>225</v>
      </c>
      <c r="O267" s="1" t="s">
        <v>226</v>
      </c>
      <c r="P267" s="1" t="s">
        <v>224</v>
      </c>
      <c r="Q267" s="1">
        <v>7180</v>
      </c>
      <c r="R267" s="1">
        <v>7206</v>
      </c>
      <c r="S267" s="1" t="s">
        <v>221</v>
      </c>
      <c r="T267" s="1" t="s">
        <v>221</v>
      </c>
      <c r="U267" s="1">
        <v>0</v>
      </c>
      <c r="V267" s="1">
        <v>0</v>
      </c>
      <c r="W267" s="1">
        <v>0</v>
      </c>
      <c r="X267" s="4" t="b">
        <v>1</v>
      </c>
    </row>
    <row r="268" spans="1:24" ht="17" customHeight="1" x14ac:dyDescent="0.2">
      <c r="A268" s="1" t="s">
        <v>1154</v>
      </c>
      <c r="B268" s="1" t="s">
        <v>1154</v>
      </c>
      <c r="C268" s="1" t="s">
        <v>50</v>
      </c>
      <c r="D268" s="1">
        <v>585</v>
      </c>
      <c r="E268" s="1">
        <v>593</v>
      </c>
      <c r="G268" s="1" t="s">
        <v>1156</v>
      </c>
      <c r="I268" s="1" t="s">
        <v>22</v>
      </c>
      <c r="J268" s="1" t="s">
        <v>1864</v>
      </c>
      <c r="K268" s="1">
        <v>7977</v>
      </c>
      <c r="L268" s="1">
        <v>8003</v>
      </c>
      <c r="M268" s="1" t="s">
        <v>1553</v>
      </c>
      <c r="N268" s="1" t="s">
        <v>1553</v>
      </c>
      <c r="O268" s="1" t="s">
        <v>1531</v>
      </c>
      <c r="P268" s="1" t="s">
        <v>1553</v>
      </c>
      <c r="Q268" s="1">
        <v>7183</v>
      </c>
      <c r="R268" s="1">
        <v>7209</v>
      </c>
      <c r="S268" s="1" t="s">
        <v>1154</v>
      </c>
      <c r="T268" s="1" t="s">
        <v>1154</v>
      </c>
      <c r="U268" s="1">
        <v>0</v>
      </c>
      <c r="V268" s="1">
        <v>0</v>
      </c>
      <c r="W268" s="1">
        <v>0</v>
      </c>
      <c r="X268" s="4" t="b">
        <v>1</v>
      </c>
    </row>
    <row r="269" spans="1:24" ht="17" customHeight="1" x14ac:dyDescent="0.2">
      <c r="A269" s="1" t="s">
        <v>1153</v>
      </c>
      <c r="B269" s="1" t="s">
        <v>1154</v>
      </c>
      <c r="C269" s="1" t="s">
        <v>50</v>
      </c>
      <c r="D269" s="1">
        <v>585</v>
      </c>
      <c r="E269" s="1">
        <v>593</v>
      </c>
      <c r="F269" s="1" t="s">
        <v>1155</v>
      </c>
      <c r="G269" s="1" t="s">
        <v>1156</v>
      </c>
      <c r="H269" s="1" t="s">
        <v>31</v>
      </c>
      <c r="I269" s="1" t="s">
        <v>22</v>
      </c>
      <c r="J269" s="1" t="s">
        <v>1865</v>
      </c>
      <c r="K269" s="1">
        <v>7977</v>
      </c>
      <c r="L269" s="1">
        <v>8003</v>
      </c>
      <c r="M269" s="1" t="s">
        <v>1157</v>
      </c>
      <c r="N269" s="1" t="s">
        <v>1158</v>
      </c>
      <c r="O269" s="1" t="s">
        <v>1159</v>
      </c>
      <c r="P269" s="1" t="s">
        <v>1157</v>
      </c>
      <c r="Q269" s="1">
        <v>7183</v>
      </c>
      <c r="R269" s="1">
        <v>7209</v>
      </c>
      <c r="S269" s="1" t="s">
        <v>1154</v>
      </c>
      <c r="T269" s="1" t="s">
        <v>1154</v>
      </c>
      <c r="U269" s="1">
        <v>0</v>
      </c>
      <c r="V269" s="1">
        <v>0</v>
      </c>
      <c r="W269" s="1">
        <v>0</v>
      </c>
      <c r="X269" s="4" t="b">
        <v>1</v>
      </c>
    </row>
    <row r="270" spans="1:24" ht="17" customHeight="1" x14ac:dyDescent="0.2">
      <c r="A270" s="1" t="s">
        <v>1469</v>
      </c>
      <c r="B270" s="1" t="s">
        <v>1470</v>
      </c>
      <c r="C270" s="1" t="s">
        <v>50</v>
      </c>
      <c r="D270" s="1">
        <v>586</v>
      </c>
      <c r="E270" s="1">
        <v>593</v>
      </c>
      <c r="F270" s="1" t="s">
        <v>1471</v>
      </c>
      <c r="G270" s="1" t="s">
        <v>1472</v>
      </c>
      <c r="I270" s="1" t="s">
        <v>22</v>
      </c>
      <c r="J270" s="1" t="s">
        <v>1810</v>
      </c>
      <c r="K270" s="1">
        <v>7980</v>
      </c>
      <c r="L270" s="1">
        <v>8003</v>
      </c>
      <c r="M270" s="1" t="s">
        <v>1473</v>
      </c>
      <c r="N270" s="1" t="s">
        <v>1474</v>
      </c>
      <c r="O270" s="1" t="s">
        <v>1475</v>
      </c>
      <c r="P270" s="1" t="s">
        <v>1473</v>
      </c>
      <c r="Q270" s="1">
        <v>7186</v>
      </c>
      <c r="R270" s="1">
        <v>7209</v>
      </c>
      <c r="S270" s="1" t="s">
        <v>1470</v>
      </c>
      <c r="T270" s="1" t="s">
        <v>1470</v>
      </c>
      <c r="U270" s="1">
        <v>0</v>
      </c>
      <c r="V270" s="1">
        <v>0</v>
      </c>
      <c r="W270" s="1">
        <v>0</v>
      </c>
      <c r="X270" s="4" t="b">
        <v>1</v>
      </c>
    </row>
    <row r="271" spans="1:24" ht="17" customHeight="1" x14ac:dyDescent="0.2">
      <c r="A271" s="1" t="s">
        <v>1243</v>
      </c>
      <c r="B271" s="1" t="s">
        <v>1243</v>
      </c>
      <c r="C271" s="1" t="s">
        <v>50</v>
      </c>
      <c r="D271" s="1">
        <v>606</v>
      </c>
      <c r="E271" s="1">
        <v>614</v>
      </c>
      <c r="F271" s="1" t="s">
        <v>1244</v>
      </c>
      <c r="G271" s="1" t="s">
        <v>1245</v>
      </c>
      <c r="H271" s="1" t="s">
        <v>31</v>
      </c>
      <c r="I271" s="1" t="s">
        <v>22</v>
      </c>
      <c r="J271" s="1" t="s">
        <v>1802</v>
      </c>
      <c r="K271" s="1">
        <v>8040</v>
      </c>
      <c r="L271" s="1">
        <v>8066</v>
      </c>
      <c r="M271" s="1" t="s">
        <v>1246</v>
      </c>
      <c r="N271" s="1" t="s">
        <v>1247</v>
      </c>
      <c r="O271" s="1" t="s">
        <v>1248</v>
      </c>
      <c r="P271" s="1" t="s">
        <v>1246</v>
      </c>
      <c r="Q271" s="1">
        <v>7246</v>
      </c>
      <c r="R271" s="1">
        <v>7272</v>
      </c>
      <c r="S271" s="1" t="s">
        <v>1243</v>
      </c>
      <c r="T271" s="1" t="s">
        <v>1243</v>
      </c>
      <c r="U271" s="1">
        <v>0</v>
      </c>
      <c r="V271" s="1">
        <v>0</v>
      </c>
      <c r="W271" s="1">
        <v>0</v>
      </c>
      <c r="X271" s="4" t="b">
        <v>1</v>
      </c>
    </row>
    <row r="272" spans="1:24" ht="17" customHeight="1" x14ac:dyDescent="0.2">
      <c r="A272" s="1" t="s">
        <v>1324</v>
      </c>
      <c r="B272" s="1" t="s">
        <v>1324</v>
      </c>
      <c r="C272" s="1" t="s">
        <v>50</v>
      </c>
      <c r="D272" s="1">
        <v>698</v>
      </c>
      <c r="E272" s="1">
        <v>707</v>
      </c>
      <c r="F272" s="1" t="s">
        <v>1325</v>
      </c>
      <c r="G272" s="1" t="s">
        <v>1326</v>
      </c>
      <c r="I272" s="1" t="s">
        <v>22</v>
      </c>
      <c r="J272" s="1" t="s">
        <v>252</v>
      </c>
      <c r="K272" s="1">
        <v>8316</v>
      </c>
      <c r="L272" s="1">
        <v>8345</v>
      </c>
      <c r="M272" s="1" t="s">
        <v>1327</v>
      </c>
      <c r="N272" s="1" t="s">
        <v>1328</v>
      </c>
      <c r="O272" s="1" t="s">
        <v>1329</v>
      </c>
      <c r="P272" s="1" t="s">
        <v>1327</v>
      </c>
      <c r="Q272" s="1">
        <v>7522</v>
      </c>
      <c r="R272" s="1">
        <v>7551</v>
      </c>
      <c r="S272" s="1" t="s">
        <v>1330</v>
      </c>
      <c r="T272" s="1" t="s">
        <v>1324</v>
      </c>
      <c r="U272" s="1">
        <v>1</v>
      </c>
      <c r="V272" s="1">
        <v>0</v>
      </c>
      <c r="W272" s="1">
        <v>1</v>
      </c>
      <c r="X272" s="4" t="b">
        <v>1</v>
      </c>
    </row>
    <row r="273" spans="1:24" ht="17" customHeight="1" x14ac:dyDescent="0.2">
      <c r="A273" s="1" t="s">
        <v>618</v>
      </c>
      <c r="B273" s="1" t="s">
        <v>618</v>
      </c>
      <c r="C273" s="1" t="s">
        <v>50</v>
      </c>
      <c r="D273" s="1">
        <v>704</v>
      </c>
      <c r="E273" s="1">
        <v>712</v>
      </c>
      <c r="F273" s="1" t="s">
        <v>619</v>
      </c>
      <c r="G273" s="1" t="s">
        <v>620</v>
      </c>
      <c r="H273" s="1" t="s">
        <v>31</v>
      </c>
      <c r="I273" s="1" t="s">
        <v>22</v>
      </c>
      <c r="J273" s="1" t="s">
        <v>434</v>
      </c>
      <c r="K273" s="1">
        <v>8334</v>
      </c>
      <c r="L273" s="1">
        <v>8360</v>
      </c>
      <c r="M273" s="1" t="s">
        <v>621</v>
      </c>
      <c r="N273" s="1" t="s">
        <v>622</v>
      </c>
      <c r="O273" s="1" t="s">
        <v>623</v>
      </c>
      <c r="P273" s="1" t="s">
        <v>621</v>
      </c>
      <c r="Q273" s="1">
        <v>7540</v>
      </c>
      <c r="R273" s="1">
        <v>7566</v>
      </c>
      <c r="S273" s="1" t="s">
        <v>624</v>
      </c>
      <c r="T273" s="1" t="s">
        <v>624</v>
      </c>
      <c r="U273" s="1">
        <v>1</v>
      </c>
      <c r="V273" s="1">
        <v>1</v>
      </c>
      <c r="W273" s="1">
        <v>0</v>
      </c>
      <c r="X273" s="4" t="b">
        <v>0</v>
      </c>
    </row>
    <row r="274" spans="1:24" ht="17" customHeight="1" x14ac:dyDescent="0.2">
      <c r="A274" s="1" t="s">
        <v>580</v>
      </c>
      <c r="B274" s="1" t="s">
        <v>581</v>
      </c>
      <c r="C274" s="1" t="s">
        <v>213</v>
      </c>
      <c r="D274" s="1">
        <v>55</v>
      </c>
      <c r="E274" s="1">
        <v>63</v>
      </c>
      <c r="F274" s="1" t="s">
        <v>582</v>
      </c>
      <c r="G274" s="1" t="s">
        <v>583</v>
      </c>
      <c r="I274" s="1" t="s">
        <v>22</v>
      </c>
      <c r="J274" s="1" t="s">
        <v>427</v>
      </c>
      <c r="K274" s="1">
        <v>8465</v>
      </c>
      <c r="L274" s="1">
        <v>8491</v>
      </c>
      <c r="M274" s="1" t="s">
        <v>584</v>
      </c>
      <c r="N274" s="1" t="s">
        <v>585</v>
      </c>
      <c r="O274" s="1" t="s">
        <v>586</v>
      </c>
      <c r="P274" s="1" t="s">
        <v>584</v>
      </c>
      <c r="Q274" s="1">
        <v>7671</v>
      </c>
      <c r="R274" s="1">
        <v>7697</v>
      </c>
      <c r="S274" s="1" t="s">
        <v>587</v>
      </c>
      <c r="T274" s="1" t="s">
        <v>588</v>
      </c>
      <c r="U274" s="1">
        <v>1</v>
      </c>
      <c r="V274" s="1">
        <v>1</v>
      </c>
      <c r="W274" s="1">
        <v>2</v>
      </c>
      <c r="X274" s="4" t="b">
        <v>0</v>
      </c>
    </row>
    <row r="275" spans="1:24" ht="17" customHeight="1" x14ac:dyDescent="0.2">
      <c r="A275" s="1" t="s">
        <v>212</v>
      </c>
      <c r="B275" s="1" t="s">
        <v>212</v>
      </c>
      <c r="C275" s="1" t="s">
        <v>213</v>
      </c>
      <c r="D275" s="1">
        <v>57</v>
      </c>
      <c r="E275" s="1">
        <v>66</v>
      </c>
      <c r="F275" s="1" t="s">
        <v>213</v>
      </c>
      <c r="G275" s="1" t="s">
        <v>214</v>
      </c>
      <c r="I275" s="1" t="s">
        <v>22</v>
      </c>
      <c r="J275" s="1" t="s">
        <v>107</v>
      </c>
      <c r="K275" s="1">
        <v>8471</v>
      </c>
      <c r="L275" s="1">
        <v>8500</v>
      </c>
      <c r="M275" s="1" t="s">
        <v>215</v>
      </c>
      <c r="N275" s="1" t="s">
        <v>216</v>
      </c>
      <c r="O275" s="1" t="s">
        <v>217</v>
      </c>
      <c r="P275" s="1" t="s">
        <v>215</v>
      </c>
      <c r="Q275" s="1">
        <v>7677</v>
      </c>
      <c r="R275" s="1">
        <v>7706</v>
      </c>
      <c r="S275" s="1" t="s">
        <v>218</v>
      </c>
      <c r="T275" s="1" t="s">
        <v>219</v>
      </c>
      <c r="U275" s="1">
        <v>1</v>
      </c>
      <c r="V275" s="1">
        <v>1</v>
      </c>
      <c r="W275" s="1">
        <v>2</v>
      </c>
      <c r="X275" s="4" t="b">
        <v>0</v>
      </c>
    </row>
    <row r="276" spans="1:24" ht="17" customHeight="1" x14ac:dyDescent="0.2">
      <c r="A276" s="1" t="s">
        <v>1058</v>
      </c>
      <c r="B276" s="1" t="s">
        <v>1058</v>
      </c>
      <c r="C276" s="1" t="s">
        <v>213</v>
      </c>
      <c r="D276" s="1">
        <v>66</v>
      </c>
      <c r="E276" s="1">
        <v>75</v>
      </c>
      <c r="F276" s="1" t="s">
        <v>213</v>
      </c>
      <c r="G276" s="1" t="s">
        <v>1059</v>
      </c>
      <c r="I276" s="1" t="s">
        <v>22</v>
      </c>
      <c r="J276" s="1" t="s">
        <v>1102</v>
      </c>
      <c r="K276" s="1">
        <v>8498</v>
      </c>
      <c r="L276" s="1">
        <v>8527</v>
      </c>
      <c r="M276" s="1" t="s">
        <v>1060</v>
      </c>
      <c r="N276" s="1" t="e">
        <v>#N/A</v>
      </c>
      <c r="O276" s="1" t="s">
        <v>1061</v>
      </c>
      <c r="P276" s="1" t="s">
        <v>1060</v>
      </c>
      <c r="Q276" s="1">
        <v>7704</v>
      </c>
      <c r="R276" s="1">
        <v>7733</v>
      </c>
      <c r="S276" s="1" t="s">
        <v>1058</v>
      </c>
      <c r="T276" s="1" t="s">
        <v>1062</v>
      </c>
      <c r="U276" s="1">
        <v>0</v>
      </c>
      <c r="V276" s="1">
        <v>1</v>
      </c>
      <c r="W276" s="1">
        <v>1</v>
      </c>
      <c r="X276" s="4" t="b">
        <v>0</v>
      </c>
    </row>
    <row r="277" spans="1:24" ht="17" customHeight="1" x14ac:dyDescent="0.2">
      <c r="A277" s="1" t="s">
        <v>1175</v>
      </c>
      <c r="B277" s="1" t="s">
        <v>1175</v>
      </c>
      <c r="C277" s="1" t="s">
        <v>213</v>
      </c>
      <c r="G277" s="1" t="s">
        <v>1170</v>
      </c>
      <c r="I277" s="1" t="s">
        <v>22</v>
      </c>
      <c r="J277" s="1" t="s">
        <v>1839</v>
      </c>
      <c r="K277" s="1">
        <v>8501</v>
      </c>
      <c r="L277" s="1">
        <v>8527</v>
      </c>
      <c r="M277" s="1" t="s">
        <v>1564</v>
      </c>
      <c r="N277" s="1" t="s">
        <v>1564</v>
      </c>
      <c r="O277" s="1" t="s">
        <v>1531</v>
      </c>
      <c r="P277" s="1" t="s">
        <v>1564</v>
      </c>
      <c r="Q277" s="1">
        <v>7707</v>
      </c>
      <c r="R277" s="1">
        <v>7733</v>
      </c>
      <c r="S277" s="1" t="s">
        <v>1174</v>
      </c>
      <c r="T277" s="1" t="s">
        <v>1175</v>
      </c>
      <c r="W277" s="1">
        <v>1</v>
      </c>
      <c r="X277" s="4" t="b">
        <v>1</v>
      </c>
    </row>
    <row r="278" spans="1:24" ht="17" customHeight="1" x14ac:dyDescent="0.2">
      <c r="A278" s="1" t="s">
        <v>1169</v>
      </c>
      <c r="B278" s="1" t="s">
        <v>1175</v>
      </c>
      <c r="C278" s="1" t="s">
        <v>213</v>
      </c>
      <c r="D278" s="1">
        <v>67</v>
      </c>
      <c r="E278" s="1">
        <v>75</v>
      </c>
      <c r="F278" s="1" t="s">
        <v>213</v>
      </c>
      <c r="G278" s="1" t="s">
        <v>1170</v>
      </c>
      <c r="H278" s="1" t="s">
        <v>31</v>
      </c>
      <c r="I278" s="1" t="s">
        <v>22</v>
      </c>
      <c r="J278" s="1" t="s">
        <v>1171</v>
      </c>
      <c r="K278" s="1">
        <v>8501</v>
      </c>
      <c r="L278" s="1">
        <v>8527</v>
      </c>
      <c r="M278" s="1" t="s">
        <v>1172</v>
      </c>
      <c r="N278" s="1" t="s">
        <v>1173</v>
      </c>
      <c r="O278" s="1" t="s">
        <v>26</v>
      </c>
      <c r="P278" s="1" t="s">
        <v>1172</v>
      </c>
      <c r="Q278" s="1">
        <v>7707</v>
      </c>
      <c r="R278" s="1">
        <v>7733</v>
      </c>
      <c r="S278" s="1" t="s">
        <v>1174</v>
      </c>
      <c r="T278" s="1" t="s">
        <v>1175</v>
      </c>
      <c r="U278" s="1">
        <v>3</v>
      </c>
      <c r="V278" s="1">
        <v>2</v>
      </c>
      <c r="W278" s="1">
        <v>1</v>
      </c>
      <c r="X278" s="4" t="b">
        <v>1</v>
      </c>
    </row>
    <row r="279" spans="1:24" ht="17" customHeight="1" x14ac:dyDescent="0.2">
      <c r="A279" s="1" t="s">
        <v>1550</v>
      </c>
      <c r="B279" s="1" t="s">
        <v>1550</v>
      </c>
      <c r="C279" s="1" t="s">
        <v>50</v>
      </c>
      <c r="G279" s="1" t="s">
        <v>1551</v>
      </c>
      <c r="I279" s="1" t="s">
        <v>22</v>
      </c>
      <c r="J279" s="1" t="s">
        <v>1864</v>
      </c>
      <c r="K279" s="1">
        <v>8502</v>
      </c>
      <c r="L279" s="1">
        <v>8528</v>
      </c>
      <c r="M279" s="1" t="s">
        <v>1552</v>
      </c>
      <c r="N279" s="1" t="s">
        <v>1552</v>
      </c>
      <c r="O279" s="1" t="s">
        <v>1531</v>
      </c>
      <c r="P279" s="1" t="s">
        <v>1552</v>
      </c>
      <c r="Q279" s="1">
        <v>7708</v>
      </c>
      <c r="R279" s="1">
        <v>7734</v>
      </c>
      <c r="S279" s="1" t="s">
        <v>1550</v>
      </c>
      <c r="T279" s="1" t="s">
        <v>1550</v>
      </c>
      <c r="W279" s="1">
        <v>0</v>
      </c>
      <c r="X279" s="4" t="b">
        <v>1</v>
      </c>
    </row>
    <row r="280" spans="1:24" ht="17" customHeight="1" x14ac:dyDescent="0.2">
      <c r="A280" s="1" t="s">
        <v>1015</v>
      </c>
      <c r="B280" s="1" t="s">
        <v>1015</v>
      </c>
      <c r="C280" s="1" t="s">
        <v>50</v>
      </c>
      <c r="D280" s="1">
        <v>770</v>
      </c>
      <c r="E280" s="1">
        <v>780</v>
      </c>
      <c r="F280" s="1" t="s">
        <v>1016</v>
      </c>
      <c r="G280" s="1" t="s">
        <v>1017</v>
      </c>
      <c r="H280" s="1" t="s">
        <v>31</v>
      </c>
      <c r="I280" s="1" t="s">
        <v>22</v>
      </c>
      <c r="J280" s="1" t="s">
        <v>1018</v>
      </c>
      <c r="K280" s="1">
        <v>8532</v>
      </c>
      <c r="L280" s="1">
        <v>8564</v>
      </c>
      <c r="M280" s="1" t="s">
        <v>1019</v>
      </c>
      <c r="N280" s="1" t="s">
        <v>1020</v>
      </c>
      <c r="O280" s="1" t="s">
        <v>1021</v>
      </c>
      <c r="P280" s="1" t="s">
        <v>1019</v>
      </c>
      <c r="Q280" s="1">
        <v>7738</v>
      </c>
      <c r="R280" s="1">
        <v>7770</v>
      </c>
      <c r="S280" s="1" t="s">
        <v>1022</v>
      </c>
      <c r="T280" s="1" t="s">
        <v>1015</v>
      </c>
      <c r="U280" s="1">
        <v>1</v>
      </c>
      <c r="V280" s="1">
        <v>0</v>
      </c>
      <c r="W280" s="1">
        <v>1</v>
      </c>
      <c r="X280" s="4" t="b">
        <v>1</v>
      </c>
    </row>
    <row r="281" spans="1:24" ht="17" customHeight="1" x14ac:dyDescent="0.2">
      <c r="A281" s="1" t="s">
        <v>1015</v>
      </c>
      <c r="B281" s="1" t="s">
        <v>1015</v>
      </c>
      <c r="C281" s="1" t="s">
        <v>50</v>
      </c>
      <c r="D281" s="1">
        <v>770</v>
      </c>
      <c r="E281" s="1">
        <v>780</v>
      </c>
      <c r="G281" s="1" t="s">
        <v>1017</v>
      </c>
      <c r="I281" s="1" t="s">
        <v>22</v>
      </c>
      <c r="J281" s="1" t="s">
        <v>1743</v>
      </c>
      <c r="K281" s="1">
        <v>8532</v>
      </c>
      <c r="L281" s="1">
        <v>8564</v>
      </c>
      <c r="M281" s="1" t="s">
        <v>1560</v>
      </c>
      <c r="N281" s="1" t="s">
        <v>1560</v>
      </c>
      <c r="O281" s="1" t="s">
        <v>1531</v>
      </c>
      <c r="P281" s="1" t="s">
        <v>1744</v>
      </c>
      <c r="Q281" s="1">
        <v>7738</v>
      </c>
      <c r="R281" s="1">
        <v>7770</v>
      </c>
      <c r="S281" s="1" t="s">
        <v>1022</v>
      </c>
      <c r="T281" s="1" t="s">
        <v>1015</v>
      </c>
      <c r="U281" s="1">
        <v>1</v>
      </c>
      <c r="V281" s="1">
        <v>0</v>
      </c>
      <c r="W281" s="1">
        <v>1</v>
      </c>
      <c r="X281" s="4" t="b">
        <v>1</v>
      </c>
    </row>
    <row r="282" spans="1:24" ht="17" customHeight="1" x14ac:dyDescent="0.2">
      <c r="A282" s="1" t="s">
        <v>631</v>
      </c>
      <c r="B282" s="1" t="s">
        <v>631</v>
      </c>
      <c r="C282" s="1" t="s">
        <v>50</v>
      </c>
      <c r="D282" s="1">
        <v>777</v>
      </c>
      <c r="E282" s="1">
        <v>785</v>
      </c>
      <c r="F282" s="1" t="s">
        <v>632</v>
      </c>
      <c r="G282" s="1" t="s">
        <v>633</v>
      </c>
      <c r="H282" s="1" t="s">
        <v>31</v>
      </c>
      <c r="I282" s="1" t="s">
        <v>22</v>
      </c>
      <c r="J282" s="1" t="s">
        <v>166</v>
      </c>
      <c r="K282" s="1">
        <v>8553</v>
      </c>
      <c r="L282" s="1">
        <v>8579</v>
      </c>
      <c r="M282" s="1" t="s">
        <v>634</v>
      </c>
      <c r="N282" s="1" t="e">
        <v>#N/A</v>
      </c>
      <c r="O282" s="1" t="s">
        <v>635</v>
      </c>
      <c r="P282" s="1" t="s">
        <v>634</v>
      </c>
      <c r="Q282" s="1">
        <v>7759</v>
      </c>
      <c r="R282" s="1">
        <v>7785</v>
      </c>
      <c r="S282" s="1" t="s">
        <v>636</v>
      </c>
      <c r="T282" s="1" t="s">
        <v>631</v>
      </c>
      <c r="U282" s="1">
        <v>1</v>
      </c>
      <c r="V282" s="1">
        <v>0</v>
      </c>
      <c r="W282" s="1">
        <v>1</v>
      </c>
      <c r="X282" s="4" t="b">
        <v>1</v>
      </c>
    </row>
    <row r="283" spans="1:24" ht="17" customHeight="1" x14ac:dyDescent="0.2">
      <c r="A283" s="1" t="s">
        <v>416</v>
      </c>
      <c r="B283" s="1" t="s">
        <v>416</v>
      </c>
      <c r="C283" s="1" t="s">
        <v>50</v>
      </c>
      <c r="D283" s="1">
        <v>786</v>
      </c>
      <c r="E283" s="1">
        <v>795</v>
      </c>
      <c r="F283" s="1" t="s">
        <v>417</v>
      </c>
      <c r="G283" s="1" t="s">
        <v>418</v>
      </c>
      <c r="H283" s="1" t="s">
        <v>31</v>
      </c>
      <c r="I283" s="1" t="s">
        <v>22</v>
      </c>
      <c r="J283" s="1" t="s">
        <v>419</v>
      </c>
      <c r="K283" s="1">
        <v>8580</v>
      </c>
      <c r="L283" s="1">
        <v>8609</v>
      </c>
      <c r="M283" s="1" t="s">
        <v>420</v>
      </c>
      <c r="N283" s="1" t="s">
        <v>421</v>
      </c>
      <c r="O283" s="1" t="s">
        <v>26</v>
      </c>
      <c r="P283" s="1" t="s">
        <v>420</v>
      </c>
      <c r="Q283" s="1">
        <v>7786</v>
      </c>
      <c r="R283" s="1">
        <v>7815</v>
      </c>
      <c r="S283" s="1" t="s">
        <v>422</v>
      </c>
      <c r="T283" s="1" t="s">
        <v>416</v>
      </c>
      <c r="U283" s="1">
        <v>1</v>
      </c>
      <c r="V283" s="1">
        <v>0</v>
      </c>
      <c r="W283" s="1">
        <v>1</v>
      </c>
      <c r="X283" s="4" t="b">
        <v>1</v>
      </c>
    </row>
    <row r="284" spans="1:24" ht="17" customHeight="1" x14ac:dyDescent="0.2">
      <c r="A284" s="1" t="s">
        <v>1121</v>
      </c>
      <c r="B284" s="1" t="s">
        <v>1121</v>
      </c>
      <c r="C284" s="1" t="s">
        <v>50</v>
      </c>
      <c r="D284" s="1">
        <v>787</v>
      </c>
      <c r="E284" s="1">
        <v>795</v>
      </c>
      <c r="F284" s="1" t="s">
        <v>1122</v>
      </c>
      <c r="G284" s="1" t="s">
        <v>1123</v>
      </c>
      <c r="I284" s="1" t="s">
        <v>22</v>
      </c>
      <c r="J284" s="1" t="s">
        <v>427</v>
      </c>
      <c r="K284" s="1">
        <v>8583</v>
      </c>
      <c r="L284" s="1">
        <v>8609</v>
      </c>
      <c r="M284" s="1" t="s">
        <v>1124</v>
      </c>
      <c r="N284" s="1" t="s">
        <v>1125</v>
      </c>
      <c r="O284" s="1" t="s">
        <v>1126</v>
      </c>
      <c r="P284" s="1" t="s">
        <v>1124</v>
      </c>
      <c r="Q284" s="1">
        <v>7789</v>
      </c>
      <c r="R284" s="1">
        <v>7815</v>
      </c>
      <c r="S284" s="1" t="s">
        <v>1121</v>
      </c>
      <c r="T284" s="1" t="s">
        <v>1127</v>
      </c>
      <c r="U284" s="1">
        <v>0</v>
      </c>
      <c r="V284" s="1">
        <v>1</v>
      </c>
      <c r="W284" s="1">
        <v>1</v>
      </c>
      <c r="X284" s="4" t="b">
        <v>0</v>
      </c>
    </row>
    <row r="285" spans="1:24" ht="17" customHeight="1" x14ac:dyDescent="0.2">
      <c r="A285" s="1" t="s">
        <v>765</v>
      </c>
      <c r="B285" s="1" t="s">
        <v>765</v>
      </c>
      <c r="C285" s="1" t="s">
        <v>50</v>
      </c>
      <c r="D285" s="1">
        <v>794</v>
      </c>
      <c r="E285" s="1">
        <v>802</v>
      </c>
      <c r="F285" s="1" t="s">
        <v>766</v>
      </c>
      <c r="G285" s="1" t="s">
        <v>767</v>
      </c>
      <c r="H285" s="1" t="s">
        <v>31</v>
      </c>
      <c r="I285" s="1" t="s">
        <v>22</v>
      </c>
      <c r="J285" s="1" t="s">
        <v>434</v>
      </c>
      <c r="K285" s="1">
        <v>8604</v>
      </c>
      <c r="L285" s="1">
        <v>8630</v>
      </c>
      <c r="M285" s="1" t="s">
        <v>768</v>
      </c>
      <c r="N285" s="1" t="s">
        <v>769</v>
      </c>
      <c r="O285" s="1" t="s">
        <v>770</v>
      </c>
      <c r="P285" s="1" t="s">
        <v>768</v>
      </c>
      <c r="Q285" s="1">
        <v>7810</v>
      </c>
      <c r="R285" s="1">
        <v>7836</v>
      </c>
      <c r="S285" s="1" t="s">
        <v>771</v>
      </c>
      <c r="T285" s="1" t="s">
        <v>771</v>
      </c>
      <c r="U285" s="1">
        <v>1</v>
      </c>
      <c r="V285" s="1">
        <v>1</v>
      </c>
      <c r="W285" s="1">
        <v>0</v>
      </c>
      <c r="X285" s="4" t="b">
        <v>0</v>
      </c>
    </row>
    <row r="286" spans="1:24" ht="17" customHeight="1" x14ac:dyDescent="0.2">
      <c r="A286" s="1" t="s">
        <v>945</v>
      </c>
      <c r="B286" s="1" t="s">
        <v>945</v>
      </c>
      <c r="C286" s="1" t="s">
        <v>50</v>
      </c>
      <c r="D286" s="1">
        <v>805</v>
      </c>
      <c r="E286" s="1">
        <v>814</v>
      </c>
      <c r="F286" s="1" t="s">
        <v>946</v>
      </c>
      <c r="G286" s="1" t="s">
        <v>947</v>
      </c>
      <c r="H286" s="1" t="s">
        <v>31</v>
      </c>
      <c r="I286" s="1" t="s">
        <v>22</v>
      </c>
      <c r="J286" s="1" t="s">
        <v>516</v>
      </c>
      <c r="K286" s="1">
        <v>8637</v>
      </c>
      <c r="L286" s="1">
        <v>8666</v>
      </c>
      <c r="M286" s="1" t="s">
        <v>948</v>
      </c>
      <c r="N286" s="1" t="s">
        <v>948</v>
      </c>
      <c r="O286" s="1" t="s">
        <v>26</v>
      </c>
      <c r="P286" s="1" t="s">
        <v>948</v>
      </c>
      <c r="Q286" s="1">
        <v>7843</v>
      </c>
      <c r="R286" s="1">
        <v>7872</v>
      </c>
      <c r="S286" s="1" t="s">
        <v>945</v>
      </c>
      <c r="T286" s="1" t="s">
        <v>945</v>
      </c>
      <c r="U286" s="1">
        <v>0</v>
      </c>
      <c r="V286" s="1">
        <v>0</v>
      </c>
      <c r="W286" s="1">
        <v>0</v>
      </c>
      <c r="X286" s="4" t="b">
        <v>1</v>
      </c>
    </row>
    <row r="287" spans="1:24" ht="17" customHeight="1" x14ac:dyDescent="0.2">
      <c r="A287" s="1" t="s">
        <v>1194</v>
      </c>
      <c r="B287" s="1" t="s">
        <v>1194</v>
      </c>
      <c r="C287" s="1" t="s">
        <v>50</v>
      </c>
      <c r="D287" s="1">
        <v>813</v>
      </c>
      <c r="E287" s="1">
        <v>822</v>
      </c>
      <c r="F287" s="1" t="s">
        <v>1195</v>
      </c>
      <c r="G287" s="1" t="s">
        <v>1196</v>
      </c>
      <c r="H287" s="1" t="s">
        <v>31</v>
      </c>
      <c r="I287" s="1" t="s">
        <v>22</v>
      </c>
      <c r="J287" s="1" t="s">
        <v>1804</v>
      </c>
      <c r="K287" s="1">
        <v>8661</v>
      </c>
      <c r="L287" s="1">
        <v>8690</v>
      </c>
      <c r="M287" s="1" t="s">
        <v>1197</v>
      </c>
      <c r="N287" s="1" t="s">
        <v>1198</v>
      </c>
      <c r="O287" s="1" t="s">
        <v>1199</v>
      </c>
      <c r="P287" s="1" t="s">
        <v>1197</v>
      </c>
      <c r="Q287" s="1">
        <v>7867</v>
      </c>
      <c r="R287" s="1">
        <v>7896</v>
      </c>
      <c r="S287" s="1" t="s">
        <v>1200</v>
      </c>
      <c r="T287" s="1" t="s">
        <v>1200</v>
      </c>
      <c r="U287" s="1">
        <v>1</v>
      </c>
      <c r="V287" s="1">
        <v>1</v>
      </c>
      <c r="W287" s="1">
        <v>0</v>
      </c>
      <c r="X287" s="4" t="b">
        <v>0</v>
      </c>
    </row>
    <row r="288" spans="1:24" ht="17" customHeight="1" x14ac:dyDescent="0.2">
      <c r="A288" s="1" t="s">
        <v>805</v>
      </c>
      <c r="B288" s="1" t="s">
        <v>805</v>
      </c>
      <c r="C288" s="1" t="s">
        <v>50</v>
      </c>
      <c r="D288" s="1">
        <v>814</v>
      </c>
      <c r="E288" s="1">
        <v>822</v>
      </c>
      <c r="F288" s="1" t="s">
        <v>806</v>
      </c>
      <c r="G288" s="1" t="s">
        <v>807</v>
      </c>
      <c r="H288" s="1" t="s">
        <v>31</v>
      </c>
      <c r="I288" s="1" t="s">
        <v>22</v>
      </c>
      <c r="J288" s="1" t="s">
        <v>1804</v>
      </c>
      <c r="K288" s="1">
        <v>8664</v>
      </c>
      <c r="L288" s="1">
        <v>8690</v>
      </c>
      <c r="M288" s="1" t="s">
        <v>808</v>
      </c>
      <c r="N288" s="1" t="s">
        <v>809</v>
      </c>
      <c r="O288" s="1" t="s">
        <v>810</v>
      </c>
      <c r="P288" s="1" t="s">
        <v>808</v>
      </c>
      <c r="Q288" s="1">
        <v>7870</v>
      </c>
      <c r="R288" s="1">
        <v>7896</v>
      </c>
      <c r="S288" s="1" t="s">
        <v>811</v>
      </c>
      <c r="T288" s="1" t="s">
        <v>811</v>
      </c>
      <c r="U288" s="1">
        <v>1</v>
      </c>
      <c r="V288" s="1">
        <v>1</v>
      </c>
      <c r="W288" s="1">
        <v>0</v>
      </c>
      <c r="X288" s="4" t="b">
        <v>0</v>
      </c>
    </row>
    <row r="289" spans="1:24" ht="17" customHeight="1" x14ac:dyDescent="0.2">
      <c r="A289" s="1" t="s">
        <v>249</v>
      </c>
      <c r="B289" s="1" t="s">
        <v>249</v>
      </c>
      <c r="C289" s="1" t="s">
        <v>50</v>
      </c>
      <c r="D289" s="1">
        <v>831</v>
      </c>
      <c r="E289" s="1">
        <v>838</v>
      </c>
      <c r="F289" s="1" t="s">
        <v>250</v>
      </c>
      <c r="G289" s="1" t="s">
        <v>251</v>
      </c>
      <c r="I289" s="1" t="s">
        <v>22</v>
      </c>
      <c r="J289" s="1" t="s">
        <v>252</v>
      </c>
      <c r="K289" s="1">
        <v>8715</v>
      </c>
      <c r="L289" s="1">
        <v>8738</v>
      </c>
      <c r="M289" s="1" t="s">
        <v>253</v>
      </c>
      <c r="N289" s="1" t="s">
        <v>254</v>
      </c>
      <c r="O289" s="1" t="s">
        <v>255</v>
      </c>
      <c r="P289" s="1" t="s">
        <v>253</v>
      </c>
      <c r="Q289" s="1">
        <v>7921</v>
      </c>
      <c r="R289" s="1">
        <v>7944</v>
      </c>
      <c r="S289" s="1" t="s">
        <v>256</v>
      </c>
      <c r="T289" s="1" t="s">
        <v>257</v>
      </c>
      <c r="U289" s="1">
        <v>2</v>
      </c>
      <c r="V289" s="1">
        <v>3</v>
      </c>
      <c r="W289" s="1">
        <v>1</v>
      </c>
      <c r="X289" s="4" t="b">
        <v>0</v>
      </c>
    </row>
    <row r="290" spans="1:24" ht="17" customHeight="1" x14ac:dyDescent="0.2">
      <c r="A290" s="1" t="s">
        <v>556</v>
      </c>
      <c r="B290" s="1" t="s">
        <v>556</v>
      </c>
      <c r="C290" s="1" t="s">
        <v>50</v>
      </c>
      <c r="D290" s="1">
        <v>843</v>
      </c>
      <c r="E290" s="1">
        <v>851</v>
      </c>
      <c r="F290" s="1" t="s">
        <v>557</v>
      </c>
      <c r="G290" s="1" t="s">
        <v>558</v>
      </c>
      <c r="H290" s="1" t="s">
        <v>31</v>
      </c>
      <c r="I290" s="1" t="s">
        <v>22</v>
      </c>
      <c r="J290" s="1" t="s">
        <v>307</v>
      </c>
      <c r="K290" s="1">
        <v>8751</v>
      </c>
      <c r="L290" s="1">
        <v>8777</v>
      </c>
      <c r="M290" s="1" t="s">
        <v>559</v>
      </c>
      <c r="N290" s="1" t="s">
        <v>560</v>
      </c>
      <c r="O290" s="1" t="s">
        <v>561</v>
      </c>
      <c r="P290" s="1" t="s">
        <v>559</v>
      </c>
      <c r="Q290" s="1">
        <v>7957</v>
      </c>
      <c r="R290" s="1">
        <v>7983</v>
      </c>
      <c r="S290" s="1" t="s">
        <v>556</v>
      </c>
      <c r="T290" s="1" t="s">
        <v>556</v>
      </c>
      <c r="U290" s="1">
        <v>0</v>
      </c>
      <c r="V290" s="1">
        <v>0</v>
      </c>
      <c r="W290" s="1">
        <v>0</v>
      </c>
      <c r="X290" s="4" t="b">
        <v>1</v>
      </c>
    </row>
    <row r="291" spans="1:24" ht="17" customHeight="1" x14ac:dyDescent="0.2">
      <c r="A291" s="1" t="s">
        <v>998</v>
      </c>
      <c r="B291" s="1" t="s">
        <v>998</v>
      </c>
      <c r="C291" s="1" t="s">
        <v>50</v>
      </c>
      <c r="D291" s="1">
        <v>846</v>
      </c>
      <c r="E291" s="1">
        <v>854</v>
      </c>
      <c r="F291" s="1" t="s">
        <v>999</v>
      </c>
      <c r="G291" s="1" t="s">
        <v>1000</v>
      </c>
      <c r="I291" s="1" t="s">
        <v>22</v>
      </c>
      <c r="J291" s="1" t="s">
        <v>1820</v>
      </c>
      <c r="K291" s="1">
        <v>8760</v>
      </c>
      <c r="L291" s="1">
        <v>8786</v>
      </c>
      <c r="M291" s="1" t="s">
        <v>1001</v>
      </c>
      <c r="N291" s="1" t="s">
        <v>1002</v>
      </c>
      <c r="O291" s="1" t="s">
        <v>1003</v>
      </c>
      <c r="P291" s="1" t="s">
        <v>1001</v>
      </c>
      <c r="Q291" s="1">
        <v>7966</v>
      </c>
      <c r="R291" s="1">
        <v>7992</v>
      </c>
      <c r="S291" s="1" t="s">
        <v>998</v>
      </c>
      <c r="T291" s="1" t="s">
        <v>1004</v>
      </c>
      <c r="U291" s="1">
        <v>0</v>
      </c>
      <c r="V291" s="1">
        <v>1</v>
      </c>
      <c r="W291" s="1">
        <v>1</v>
      </c>
      <c r="X291" s="4" t="b">
        <v>0</v>
      </c>
    </row>
    <row r="292" spans="1:24" ht="17" customHeight="1" x14ac:dyDescent="0.2">
      <c r="A292" s="1" t="s">
        <v>1110</v>
      </c>
      <c r="B292" s="1" t="s">
        <v>1110</v>
      </c>
      <c r="C292" s="1" t="s">
        <v>50</v>
      </c>
      <c r="D292" s="1">
        <v>848</v>
      </c>
      <c r="E292" s="1">
        <v>856</v>
      </c>
      <c r="F292" s="1" t="s">
        <v>1111</v>
      </c>
      <c r="G292" s="1" t="s">
        <v>1112</v>
      </c>
      <c r="I292" s="1" t="s">
        <v>22</v>
      </c>
      <c r="J292" s="1" t="s">
        <v>1866</v>
      </c>
      <c r="K292" s="1">
        <v>8766</v>
      </c>
      <c r="L292" s="1">
        <v>8792</v>
      </c>
      <c r="M292" s="1" t="s">
        <v>1113</v>
      </c>
      <c r="N292" s="1" t="e">
        <v>#N/A</v>
      </c>
      <c r="O292" s="1" t="s">
        <v>1114</v>
      </c>
      <c r="P292" s="1" t="s">
        <v>1113</v>
      </c>
      <c r="Q292" s="1">
        <v>7972</v>
      </c>
      <c r="R292" s="1">
        <v>7998</v>
      </c>
      <c r="S292" s="1" t="s">
        <v>1110</v>
      </c>
      <c r="T292" s="1" t="s">
        <v>1115</v>
      </c>
      <c r="U292" s="1">
        <v>0</v>
      </c>
      <c r="V292" s="1">
        <v>1</v>
      </c>
      <c r="W292" s="1">
        <v>1</v>
      </c>
      <c r="X292" s="4" t="b">
        <v>0</v>
      </c>
    </row>
    <row r="293" spans="1:24" ht="17" customHeight="1" x14ac:dyDescent="0.2">
      <c r="A293" s="1" t="s">
        <v>1434</v>
      </c>
      <c r="B293" s="1" t="s">
        <v>1434</v>
      </c>
      <c r="C293" s="1" t="s">
        <v>20</v>
      </c>
      <c r="D293" s="1">
        <v>13</v>
      </c>
      <c r="E293" s="1">
        <v>20</v>
      </c>
      <c r="F293" s="1" t="s">
        <v>20</v>
      </c>
      <c r="G293" s="1" t="s">
        <v>1435</v>
      </c>
      <c r="H293" s="1" t="s">
        <v>31</v>
      </c>
      <c r="I293" s="1" t="s">
        <v>22</v>
      </c>
      <c r="J293" s="1" t="s">
        <v>145</v>
      </c>
      <c r="K293" s="1">
        <v>8833</v>
      </c>
      <c r="L293" s="1">
        <v>8856</v>
      </c>
      <c r="M293" s="1" t="s">
        <v>1436</v>
      </c>
      <c r="N293" s="1" t="s">
        <v>1437</v>
      </c>
      <c r="O293" s="1" t="s">
        <v>1438</v>
      </c>
      <c r="P293" s="1" t="s">
        <v>1436</v>
      </c>
      <c r="Q293" s="1">
        <v>8039</v>
      </c>
      <c r="R293" s="1">
        <v>8062</v>
      </c>
      <c r="S293" s="1" t="s">
        <v>1434</v>
      </c>
      <c r="T293" s="1" t="s">
        <v>1434</v>
      </c>
      <c r="U293" s="1">
        <v>0</v>
      </c>
      <c r="V293" s="1">
        <v>0</v>
      </c>
      <c r="W293" s="1">
        <v>0</v>
      </c>
      <c r="X293" s="4" t="b">
        <v>1</v>
      </c>
    </row>
    <row r="294" spans="1:24" ht="17" customHeight="1" x14ac:dyDescent="0.2">
      <c r="A294" s="1" t="s">
        <v>1047</v>
      </c>
      <c r="B294" s="1" t="s">
        <v>1047</v>
      </c>
      <c r="C294" s="1" t="s">
        <v>20</v>
      </c>
      <c r="D294" s="1">
        <v>19</v>
      </c>
      <c r="E294" s="1">
        <v>27</v>
      </c>
      <c r="F294" s="1" t="s">
        <v>20</v>
      </c>
      <c r="G294" s="1" t="s">
        <v>1048</v>
      </c>
      <c r="I294" s="1" t="s">
        <v>22</v>
      </c>
      <c r="J294" s="1" t="s">
        <v>1867</v>
      </c>
      <c r="K294" s="1">
        <v>8851</v>
      </c>
      <c r="L294" s="1">
        <v>8877</v>
      </c>
      <c r="M294" s="1" t="s">
        <v>1049</v>
      </c>
      <c r="N294" s="1" t="s">
        <v>1050</v>
      </c>
      <c r="O294" s="1" t="s">
        <v>1051</v>
      </c>
      <c r="P294" s="1" t="s">
        <v>1049</v>
      </c>
      <c r="Q294" s="1">
        <v>8057</v>
      </c>
      <c r="R294" s="1">
        <v>8083</v>
      </c>
      <c r="S294" s="1" t="s">
        <v>1047</v>
      </c>
      <c r="T294" s="1" t="s">
        <v>1047</v>
      </c>
      <c r="U294" s="1">
        <v>0</v>
      </c>
      <c r="V294" s="1">
        <v>0</v>
      </c>
      <c r="W294" s="1">
        <v>0</v>
      </c>
      <c r="X294" s="4" t="b">
        <v>1</v>
      </c>
    </row>
    <row r="295" spans="1:24" ht="17" customHeight="1" x14ac:dyDescent="0.2">
      <c r="A295" s="1" t="s">
        <v>1047</v>
      </c>
      <c r="B295" s="1" t="s">
        <v>1047</v>
      </c>
      <c r="C295" s="1" t="s">
        <v>20</v>
      </c>
      <c r="D295" s="1">
        <v>19</v>
      </c>
      <c r="E295" s="1">
        <v>27</v>
      </c>
      <c r="G295" s="1" t="s">
        <v>1048</v>
      </c>
      <c r="I295" s="1" t="s">
        <v>22</v>
      </c>
      <c r="J295" s="1" t="s">
        <v>1833</v>
      </c>
      <c r="K295" s="1">
        <v>8851</v>
      </c>
      <c r="L295" s="1">
        <v>8877</v>
      </c>
      <c r="M295" s="1" t="s">
        <v>1745</v>
      </c>
      <c r="N295" s="1" t="e">
        <v>#N/A</v>
      </c>
      <c r="O295" s="1" t="s">
        <v>1746</v>
      </c>
      <c r="P295" s="1" t="s">
        <v>1745</v>
      </c>
      <c r="Q295" s="1">
        <v>8057</v>
      </c>
      <c r="R295" s="1">
        <v>8083</v>
      </c>
      <c r="S295" s="1" t="s">
        <v>1047</v>
      </c>
      <c r="T295" s="1" t="s">
        <v>1047</v>
      </c>
      <c r="U295" s="1">
        <v>0</v>
      </c>
      <c r="V295" s="1">
        <v>0</v>
      </c>
      <c r="W295" s="1">
        <v>0</v>
      </c>
      <c r="X295" s="4" t="b">
        <v>1</v>
      </c>
    </row>
    <row r="296" spans="1:24" ht="17" customHeight="1" x14ac:dyDescent="0.2">
      <c r="A296" s="1" t="s">
        <v>785</v>
      </c>
      <c r="B296" s="1" t="s">
        <v>785</v>
      </c>
      <c r="C296" s="1" t="s">
        <v>20</v>
      </c>
      <c r="D296" s="1">
        <v>37</v>
      </c>
      <c r="E296" s="1">
        <v>45</v>
      </c>
      <c r="F296" s="1" t="s">
        <v>20</v>
      </c>
      <c r="G296" s="1" t="s">
        <v>786</v>
      </c>
      <c r="I296" s="1" t="s">
        <v>22</v>
      </c>
      <c r="J296" s="1" t="s">
        <v>1868</v>
      </c>
      <c r="K296" s="1">
        <v>8905</v>
      </c>
      <c r="L296" s="1">
        <v>8931</v>
      </c>
      <c r="M296" s="1" t="s">
        <v>787</v>
      </c>
      <c r="N296" s="1" t="s">
        <v>787</v>
      </c>
      <c r="O296" s="1" t="s">
        <v>788</v>
      </c>
      <c r="P296" s="1" t="s">
        <v>787</v>
      </c>
      <c r="Q296" s="1">
        <v>8111</v>
      </c>
      <c r="R296" s="1">
        <v>8137</v>
      </c>
      <c r="S296" s="1" t="s">
        <v>785</v>
      </c>
      <c r="T296" s="1" t="s">
        <v>785</v>
      </c>
      <c r="U296" s="1">
        <v>0</v>
      </c>
      <c r="V296" s="1">
        <v>0</v>
      </c>
      <c r="W296" s="1">
        <v>0</v>
      </c>
      <c r="X296" s="4" t="b">
        <v>1</v>
      </c>
    </row>
    <row r="297" spans="1:24" ht="17" customHeight="1" x14ac:dyDescent="0.2">
      <c r="A297" s="1" t="s">
        <v>785</v>
      </c>
      <c r="B297" s="1" t="s">
        <v>785</v>
      </c>
      <c r="C297" s="1" t="s">
        <v>20</v>
      </c>
      <c r="D297" s="1">
        <v>37</v>
      </c>
      <c r="E297" s="1">
        <v>45</v>
      </c>
      <c r="G297" s="1" t="s">
        <v>786</v>
      </c>
      <c r="I297" s="1" t="s">
        <v>22</v>
      </c>
      <c r="J297" s="1" t="s">
        <v>1869</v>
      </c>
      <c r="K297" s="1">
        <v>8905</v>
      </c>
      <c r="L297" s="1">
        <v>8931</v>
      </c>
      <c r="M297" s="1" t="s">
        <v>1732</v>
      </c>
      <c r="N297" s="1" t="e">
        <v>#N/A</v>
      </c>
      <c r="O297" s="1" t="s">
        <v>1733</v>
      </c>
      <c r="P297" s="1" t="s">
        <v>1732</v>
      </c>
      <c r="Q297" s="1">
        <v>8111</v>
      </c>
      <c r="R297" s="1">
        <v>8137</v>
      </c>
      <c r="S297" s="1" t="s">
        <v>785</v>
      </c>
      <c r="T297" s="1" t="s">
        <v>785</v>
      </c>
      <c r="U297" s="1">
        <v>0</v>
      </c>
      <c r="V297" s="1">
        <v>0</v>
      </c>
      <c r="W297" s="1">
        <v>0</v>
      </c>
      <c r="X297" s="4" t="b">
        <v>1</v>
      </c>
    </row>
    <row r="298" spans="1:24" ht="17" customHeight="1" x14ac:dyDescent="0.2">
      <c r="A298" s="1" t="s">
        <v>305</v>
      </c>
      <c r="B298" s="1" t="s">
        <v>305</v>
      </c>
      <c r="C298" s="1" t="s">
        <v>20</v>
      </c>
      <c r="D298" s="1">
        <v>68</v>
      </c>
      <c r="E298" s="1">
        <v>76</v>
      </c>
      <c r="F298" s="1" t="s">
        <v>20</v>
      </c>
      <c r="G298" s="1" t="s">
        <v>306</v>
      </c>
      <c r="I298" s="1" t="s">
        <v>22</v>
      </c>
      <c r="J298" s="1" t="s">
        <v>307</v>
      </c>
      <c r="K298" s="1">
        <v>8998</v>
      </c>
      <c r="L298" s="1">
        <v>9024</v>
      </c>
      <c r="M298" s="1" t="s">
        <v>308</v>
      </c>
      <c r="N298" s="1" t="s">
        <v>309</v>
      </c>
      <c r="O298" s="1" t="s">
        <v>310</v>
      </c>
      <c r="P298" s="1" t="s">
        <v>308</v>
      </c>
      <c r="Q298" s="1">
        <v>8204</v>
      </c>
      <c r="R298" s="1">
        <v>8230</v>
      </c>
      <c r="S298" s="1" t="s">
        <v>311</v>
      </c>
      <c r="T298" s="1" t="s">
        <v>305</v>
      </c>
      <c r="U298" s="1">
        <v>1</v>
      </c>
      <c r="V298" s="1">
        <v>0</v>
      </c>
      <c r="W298" s="1">
        <v>1</v>
      </c>
      <c r="X298" s="4" t="b">
        <v>1</v>
      </c>
    </row>
    <row r="299" spans="1:24" ht="17" customHeight="1" x14ac:dyDescent="0.2">
      <c r="A299" s="1" t="s">
        <v>312</v>
      </c>
      <c r="B299" s="1" t="s">
        <v>312</v>
      </c>
      <c r="C299" s="1" t="s">
        <v>20</v>
      </c>
      <c r="D299" s="1">
        <v>68</v>
      </c>
      <c r="E299" s="1">
        <v>77</v>
      </c>
      <c r="F299" s="1" t="s">
        <v>20</v>
      </c>
      <c r="G299" s="1" t="s">
        <v>313</v>
      </c>
      <c r="H299" s="1" t="s">
        <v>31</v>
      </c>
      <c r="I299" s="1" t="s">
        <v>22</v>
      </c>
      <c r="J299" s="1" t="s">
        <v>307</v>
      </c>
      <c r="K299" s="1">
        <v>8998</v>
      </c>
      <c r="L299" s="1">
        <v>9027</v>
      </c>
      <c r="M299" s="1" t="s">
        <v>314</v>
      </c>
      <c r="N299" s="1" t="e">
        <v>#N/A</v>
      </c>
      <c r="O299" s="1" t="s">
        <v>315</v>
      </c>
      <c r="P299" s="1" t="s">
        <v>314</v>
      </c>
      <c r="Q299" s="1">
        <v>8204</v>
      </c>
      <c r="R299" s="1">
        <v>8233</v>
      </c>
      <c r="S299" s="1" t="s">
        <v>316</v>
      </c>
      <c r="T299" s="1" t="s">
        <v>312</v>
      </c>
      <c r="U299" s="1">
        <v>1</v>
      </c>
      <c r="V299" s="1">
        <v>0</v>
      </c>
      <c r="W299" s="1">
        <v>1</v>
      </c>
      <c r="X299" s="4" t="b">
        <v>1</v>
      </c>
    </row>
    <row r="300" spans="1:24" ht="17" customHeight="1" x14ac:dyDescent="0.2">
      <c r="A300" s="1" t="s">
        <v>1086</v>
      </c>
      <c r="B300" s="1" t="s">
        <v>1086</v>
      </c>
      <c r="C300" s="1" t="s">
        <v>20</v>
      </c>
      <c r="D300" s="1">
        <v>71</v>
      </c>
      <c r="E300" s="1">
        <v>79</v>
      </c>
      <c r="F300" s="1" t="s">
        <v>20</v>
      </c>
      <c r="G300" s="1" t="s">
        <v>1082</v>
      </c>
      <c r="H300" s="1" t="s">
        <v>31</v>
      </c>
      <c r="I300" s="1" t="s">
        <v>22</v>
      </c>
      <c r="J300" s="1" t="s">
        <v>307</v>
      </c>
      <c r="K300" s="1">
        <v>9007</v>
      </c>
      <c r="L300" s="1">
        <v>9033</v>
      </c>
      <c r="M300" s="1" t="s">
        <v>1284</v>
      </c>
      <c r="N300" s="1" t="s">
        <v>1285</v>
      </c>
      <c r="O300" s="1" t="s">
        <v>1286</v>
      </c>
      <c r="P300" s="1" t="s">
        <v>1284</v>
      </c>
      <c r="Q300" s="1">
        <v>8213</v>
      </c>
      <c r="R300" s="1">
        <v>8239</v>
      </c>
      <c r="S300" s="1" t="s">
        <v>1081</v>
      </c>
      <c r="T300" s="1" t="s">
        <v>1086</v>
      </c>
      <c r="U300" s="1">
        <v>1</v>
      </c>
      <c r="V300" s="1">
        <v>0</v>
      </c>
      <c r="W300" s="1">
        <v>1</v>
      </c>
      <c r="X300" s="4" t="b">
        <v>1</v>
      </c>
    </row>
    <row r="301" spans="1:24" ht="17" customHeight="1" x14ac:dyDescent="0.2">
      <c r="A301" s="1" t="s">
        <v>1081</v>
      </c>
      <c r="B301" s="1" t="s">
        <v>1081</v>
      </c>
      <c r="C301" s="1" t="s">
        <v>20</v>
      </c>
      <c r="D301" s="1">
        <v>71</v>
      </c>
      <c r="E301" s="1">
        <v>79</v>
      </c>
      <c r="F301" s="1" t="s">
        <v>20</v>
      </c>
      <c r="G301" s="1" t="s">
        <v>1082</v>
      </c>
      <c r="I301" s="1" t="s">
        <v>22</v>
      </c>
      <c r="J301" s="1" t="s">
        <v>1083</v>
      </c>
      <c r="K301" s="1">
        <v>9007</v>
      </c>
      <c r="L301" s="1">
        <v>9033</v>
      </c>
      <c r="M301" s="1" t="s">
        <v>1084</v>
      </c>
      <c r="N301" s="1" t="e">
        <v>#N/A</v>
      </c>
      <c r="O301" s="1" t="s">
        <v>1085</v>
      </c>
      <c r="P301" s="1" t="s">
        <v>1084</v>
      </c>
      <c r="Q301" s="1">
        <v>8213</v>
      </c>
      <c r="R301" s="1">
        <v>8239</v>
      </c>
      <c r="S301" s="1" t="s">
        <v>1081</v>
      </c>
      <c r="T301" s="1" t="s">
        <v>1086</v>
      </c>
      <c r="U301" s="1">
        <v>0</v>
      </c>
      <c r="V301" s="1">
        <v>1</v>
      </c>
      <c r="W301" s="1">
        <v>1</v>
      </c>
      <c r="X301" s="4" t="b">
        <v>0</v>
      </c>
    </row>
    <row r="302" spans="1:24" ht="17" customHeight="1" x14ac:dyDescent="0.2">
      <c r="A302" s="1" t="s">
        <v>1087</v>
      </c>
      <c r="B302" s="1" t="s">
        <v>1087</v>
      </c>
      <c r="C302" s="1" t="s">
        <v>20</v>
      </c>
      <c r="D302" s="1">
        <v>71</v>
      </c>
      <c r="E302" s="1">
        <v>81</v>
      </c>
      <c r="F302" s="1" t="s">
        <v>20</v>
      </c>
      <c r="G302" s="1" t="s">
        <v>1088</v>
      </c>
      <c r="H302" s="1" t="s">
        <v>31</v>
      </c>
      <c r="I302" s="1" t="s">
        <v>22</v>
      </c>
      <c r="J302" s="1" t="s">
        <v>1870</v>
      </c>
      <c r="K302" s="1">
        <v>9007</v>
      </c>
      <c r="L302" s="1">
        <v>9039</v>
      </c>
      <c r="M302" s="1" t="s">
        <v>1089</v>
      </c>
      <c r="N302" s="1" t="s">
        <v>1089</v>
      </c>
      <c r="O302" s="1" t="s">
        <v>1090</v>
      </c>
      <c r="P302" s="1" t="s">
        <v>1089</v>
      </c>
      <c r="Q302" s="1">
        <v>8213</v>
      </c>
      <c r="R302" s="1">
        <v>8245</v>
      </c>
      <c r="S302" s="1" t="s">
        <v>1087</v>
      </c>
      <c r="T302" s="1" t="s">
        <v>1091</v>
      </c>
      <c r="U302" s="1">
        <v>0</v>
      </c>
      <c r="V302" s="1">
        <v>1</v>
      </c>
      <c r="W302" s="1">
        <v>1</v>
      </c>
      <c r="X302" s="4" t="b">
        <v>0</v>
      </c>
    </row>
    <row r="303" spans="1:24" ht="17" customHeight="1" x14ac:dyDescent="0.2">
      <c r="A303" s="1" t="s">
        <v>971</v>
      </c>
      <c r="B303" s="1" t="s">
        <v>971</v>
      </c>
      <c r="C303" s="1" t="s">
        <v>20</v>
      </c>
      <c r="D303" s="1">
        <v>73</v>
      </c>
      <c r="E303" s="1">
        <v>82</v>
      </c>
      <c r="F303" s="1" t="s">
        <v>20</v>
      </c>
      <c r="G303" s="1" t="s">
        <v>972</v>
      </c>
      <c r="H303" s="1" t="s">
        <v>31</v>
      </c>
      <c r="I303" s="1" t="s">
        <v>22</v>
      </c>
      <c r="J303" s="1" t="s">
        <v>1899</v>
      </c>
      <c r="K303" s="1">
        <v>9013</v>
      </c>
      <c r="L303" s="1">
        <v>9042</v>
      </c>
      <c r="M303" s="1" t="s">
        <v>973</v>
      </c>
      <c r="N303" s="1" t="s">
        <v>974</v>
      </c>
      <c r="O303" s="1" t="s">
        <v>975</v>
      </c>
      <c r="P303" s="1" t="s">
        <v>973</v>
      </c>
      <c r="Q303" s="1">
        <v>8219</v>
      </c>
      <c r="R303" s="1">
        <v>8248</v>
      </c>
      <c r="S303" s="1" t="s">
        <v>971</v>
      </c>
      <c r="T303" s="1" t="s">
        <v>971</v>
      </c>
      <c r="U303" s="1">
        <v>0</v>
      </c>
      <c r="V303" s="1">
        <v>0</v>
      </c>
      <c r="W303" s="1">
        <v>0</v>
      </c>
      <c r="X303" s="4" t="b">
        <v>1</v>
      </c>
    </row>
    <row r="304" spans="1:24" ht="17" customHeight="1" x14ac:dyDescent="0.2">
      <c r="A304" s="1" t="s">
        <v>971</v>
      </c>
      <c r="B304" s="1" t="s">
        <v>971</v>
      </c>
      <c r="C304" s="1" t="s">
        <v>20</v>
      </c>
      <c r="D304" s="1">
        <v>73</v>
      </c>
      <c r="E304" s="1">
        <v>82</v>
      </c>
      <c r="G304" s="1" t="s">
        <v>972</v>
      </c>
      <c r="I304" s="1" t="s">
        <v>22</v>
      </c>
      <c r="J304" s="1" t="s">
        <v>1848</v>
      </c>
      <c r="K304" s="1">
        <v>9013</v>
      </c>
      <c r="L304" s="1">
        <v>9042</v>
      </c>
      <c r="M304" s="1" t="s">
        <v>1547</v>
      </c>
      <c r="N304" s="1" t="s">
        <v>1547</v>
      </c>
      <c r="O304" s="1" t="s">
        <v>1531</v>
      </c>
      <c r="P304" s="1" t="s">
        <v>1740</v>
      </c>
      <c r="Q304" s="1">
        <v>8219</v>
      </c>
      <c r="R304" s="1">
        <v>8248</v>
      </c>
      <c r="S304" s="1" t="s">
        <v>971</v>
      </c>
      <c r="T304" s="1" t="s">
        <v>971</v>
      </c>
      <c r="U304" s="1">
        <v>0</v>
      </c>
      <c r="V304" s="1">
        <v>0</v>
      </c>
      <c r="W304" s="1">
        <v>0</v>
      </c>
      <c r="X304" s="4" t="b">
        <v>1</v>
      </c>
    </row>
    <row r="305" spans="1:24" ht="17" customHeight="1" x14ac:dyDescent="0.2">
      <c r="A305" s="1" t="s">
        <v>1367</v>
      </c>
      <c r="B305" s="1" t="s">
        <v>1367</v>
      </c>
      <c r="C305" s="1" t="s">
        <v>20</v>
      </c>
      <c r="D305" s="1">
        <v>74</v>
      </c>
      <c r="E305" s="1">
        <v>81</v>
      </c>
      <c r="F305" s="1" t="s">
        <v>20</v>
      </c>
      <c r="G305" s="1" t="s">
        <v>1368</v>
      </c>
      <c r="H305" s="1" t="s">
        <v>31</v>
      </c>
      <c r="I305" s="1" t="s">
        <v>22</v>
      </c>
      <c r="J305" s="1" t="s">
        <v>1802</v>
      </c>
      <c r="K305" s="1">
        <v>9016</v>
      </c>
      <c r="L305" s="1">
        <v>9039</v>
      </c>
      <c r="M305" s="1" t="s">
        <v>1369</v>
      </c>
      <c r="N305" s="1" t="s">
        <v>1370</v>
      </c>
      <c r="O305" s="1" t="s">
        <v>1371</v>
      </c>
      <c r="P305" s="1" t="s">
        <v>1369</v>
      </c>
      <c r="Q305" s="1">
        <v>8222</v>
      </c>
      <c r="R305" s="1">
        <v>8245</v>
      </c>
      <c r="S305" s="1" t="s">
        <v>1367</v>
      </c>
      <c r="T305" s="1" t="s">
        <v>1367</v>
      </c>
      <c r="U305" s="1">
        <v>0</v>
      </c>
      <c r="V305" s="1">
        <v>0</v>
      </c>
      <c r="W305" s="1">
        <v>0</v>
      </c>
      <c r="X305" s="4" t="b">
        <v>1</v>
      </c>
    </row>
    <row r="306" spans="1:24" ht="17" customHeight="1" x14ac:dyDescent="0.2">
      <c r="A306" s="1" t="s">
        <v>912</v>
      </c>
      <c r="B306" s="1" t="s">
        <v>912</v>
      </c>
      <c r="C306" s="1" t="s">
        <v>20</v>
      </c>
      <c r="D306" s="1">
        <v>75</v>
      </c>
      <c r="E306" s="1">
        <v>82</v>
      </c>
      <c r="F306" s="1" t="s">
        <v>20</v>
      </c>
      <c r="G306" s="1" t="s">
        <v>913</v>
      </c>
      <c r="H306" s="1" t="s">
        <v>31</v>
      </c>
      <c r="I306" s="1" t="s">
        <v>22</v>
      </c>
      <c r="J306" s="1" t="s">
        <v>40</v>
      </c>
      <c r="K306" s="1">
        <v>9019</v>
      </c>
      <c r="L306" s="1">
        <v>9042</v>
      </c>
      <c r="M306" s="1" t="s">
        <v>914</v>
      </c>
      <c r="N306" s="1" t="s">
        <v>915</v>
      </c>
      <c r="O306" s="1" t="s">
        <v>916</v>
      </c>
      <c r="P306" s="1" t="s">
        <v>914</v>
      </c>
      <c r="Q306" s="1">
        <v>8225</v>
      </c>
      <c r="R306" s="1">
        <v>8248</v>
      </c>
      <c r="S306" s="1" t="s">
        <v>912</v>
      </c>
      <c r="T306" s="1" t="s">
        <v>912</v>
      </c>
      <c r="U306" s="1">
        <v>0</v>
      </c>
      <c r="V306" s="1">
        <v>0</v>
      </c>
      <c r="W306" s="1">
        <v>0</v>
      </c>
      <c r="X306" s="4" t="b">
        <v>1</v>
      </c>
    </row>
    <row r="307" spans="1:24" ht="17" customHeight="1" x14ac:dyDescent="0.2">
      <c r="A307" s="1" t="s">
        <v>831</v>
      </c>
      <c r="B307" s="1" t="s">
        <v>831</v>
      </c>
      <c r="C307" s="1" t="s">
        <v>20</v>
      </c>
      <c r="D307" s="1">
        <v>76</v>
      </c>
      <c r="E307" s="1">
        <v>84</v>
      </c>
      <c r="F307" s="1" t="s">
        <v>20</v>
      </c>
      <c r="G307" s="1" t="s">
        <v>832</v>
      </c>
      <c r="H307" s="1" t="s">
        <v>31</v>
      </c>
      <c r="I307" s="1" t="s">
        <v>22</v>
      </c>
      <c r="J307" s="1" t="s">
        <v>833</v>
      </c>
      <c r="K307" s="1">
        <v>9022</v>
      </c>
      <c r="L307" s="1">
        <v>9048</v>
      </c>
      <c r="M307" s="1" t="s">
        <v>834</v>
      </c>
      <c r="N307" s="1" t="s">
        <v>835</v>
      </c>
      <c r="O307" s="1" t="s">
        <v>26</v>
      </c>
      <c r="P307" s="1" t="s">
        <v>834</v>
      </c>
      <c r="Q307" s="1">
        <v>8228</v>
      </c>
      <c r="R307" s="1">
        <v>8254</v>
      </c>
      <c r="S307" s="1" t="s">
        <v>831</v>
      </c>
      <c r="T307" s="1" t="s">
        <v>831</v>
      </c>
      <c r="U307" s="1">
        <v>0</v>
      </c>
      <c r="V307" s="1">
        <v>0</v>
      </c>
      <c r="W307" s="1">
        <v>0</v>
      </c>
      <c r="X307" s="4" t="b">
        <v>1</v>
      </c>
    </row>
    <row r="308" spans="1:24" ht="17" customHeight="1" x14ac:dyDescent="0.2">
      <c r="A308" s="1" t="s">
        <v>1068</v>
      </c>
      <c r="B308" s="1" t="s">
        <v>1068</v>
      </c>
      <c r="C308" s="1" t="s">
        <v>20</v>
      </c>
      <c r="D308" s="1">
        <v>77</v>
      </c>
      <c r="E308" s="1">
        <v>85</v>
      </c>
      <c r="F308" s="1" t="s">
        <v>20</v>
      </c>
      <c r="G308" s="1" t="s">
        <v>1069</v>
      </c>
      <c r="H308" s="1" t="s">
        <v>31</v>
      </c>
      <c r="I308" s="1" t="s">
        <v>22</v>
      </c>
      <c r="J308" s="1" t="s">
        <v>1889</v>
      </c>
      <c r="K308" s="1">
        <v>9025</v>
      </c>
      <c r="L308" s="1">
        <v>9051</v>
      </c>
      <c r="M308" s="1" t="s">
        <v>1070</v>
      </c>
      <c r="N308" s="1" t="s">
        <v>1071</v>
      </c>
      <c r="O308" s="1" t="s">
        <v>1072</v>
      </c>
      <c r="P308" s="1" t="s">
        <v>1070</v>
      </c>
      <c r="Q308" s="1">
        <v>8231</v>
      </c>
      <c r="R308" s="1">
        <v>8257</v>
      </c>
      <c r="S308" s="1" t="s">
        <v>1068</v>
      </c>
      <c r="T308" s="1" t="s">
        <v>1073</v>
      </c>
      <c r="U308" s="1">
        <v>0</v>
      </c>
      <c r="V308" s="1">
        <v>1</v>
      </c>
      <c r="W308" s="1">
        <v>1</v>
      </c>
      <c r="X308" s="4" t="b">
        <v>0</v>
      </c>
    </row>
    <row r="309" spans="1:24" ht="17" customHeight="1" x14ac:dyDescent="0.2">
      <c r="A309" s="1" t="s">
        <v>643</v>
      </c>
      <c r="B309" s="1" t="s">
        <v>643</v>
      </c>
      <c r="C309" s="1" t="s">
        <v>20</v>
      </c>
      <c r="D309" s="1">
        <v>82</v>
      </c>
      <c r="E309" s="1">
        <v>90</v>
      </c>
      <c r="F309" s="1" t="s">
        <v>20</v>
      </c>
      <c r="G309" s="1" t="s">
        <v>644</v>
      </c>
      <c r="I309" s="1" t="s">
        <v>22</v>
      </c>
      <c r="J309" s="1" t="s">
        <v>645</v>
      </c>
      <c r="K309" s="1">
        <v>9040</v>
      </c>
      <c r="L309" s="1">
        <v>9066</v>
      </c>
      <c r="M309" s="1" t="s">
        <v>646</v>
      </c>
      <c r="N309" s="1" t="s">
        <v>647</v>
      </c>
      <c r="O309" s="1" t="s">
        <v>26</v>
      </c>
      <c r="P309" s="1" t="s">
        <v>646</v>
      </c>
      <c r="Q309" s="1">
        <v>8246</v>
      </c>
      <c r="R309" s="1">
        <v>8272</v>
      </c>
      <c r="S309" s="1" t="s">
        <v>648</v>
      </c>
      <c r="T309" s="1" t="s">
        <v>649</v>
      </c>
      <c r="U309" s="1">
        <v>2</v>
      </c>
      <c r="V309" s="1">
        <v>2</v>
      </c>
      <c r="W309" s="1">
        <v>1</v>
      </c>
      <c r="X309" s="4" t="b">
        <v>0</v>
      </c>
    </row>
    <row r="310" spans="1:24" ht="17" customHeight="1" x14ac:dyDescent="0.2">
      <c r="A310" s="1" t="s">
        <v>643</v>
      </c>
      <c r="B310" s="1" t="s">
        <v>643</v>
      </c>
      <c r="C310" s="1" t="s">
        <v>20</v>
      </c>
      <c r="D310" s="1">
        <v>82</v>
      </c>
      <c r="E310" s="1">
        <v>90</v>
      </c>
      <c r="F310" s="1" t="s">
        <v>20</v>
      </c>
      <c r="G310" s="1" t="s">
        <v>644</v>
      </c>
      <c r="I310" s="1" t="s">
        <v>22</v>
      </c>
      <c r="J310" s="1" t="s">
        <v>1712</v>
      </c>
      <c r="K310" s="1">
        <v>9040</v>
      </c>
      <c r="L310" s="1">
        <v>9066</v>
      </c>
      <c r="M310" s="1" t="s">
        <v>1723</v>
      </c>
      <c r="N310" s="1" t="e">
        <v>#N/A</v>
      </c>
      <c r="O310" s="1" t="s">
        <v>26</v>
      </c>
      <c r="P310" s="1" t="s">
        <v>1724</v>
      </c>
      <c r="Q310" s="1">
        <v>8246</v>
      </c>
      <c r="R310" s="1">
        <v>8272</v>
      </c>
      <c r="S310" s="1" t="s">
        <v>648</v>
      </c>
      <c r="T310" s="1" t="s">
        <v>649</v>
      </c>
      <c r="U310" s="1">
        <v>2</v>
      </c>
      <c r="V310" s="1">
        <v>2</v>
      </c>
      <c r="W310" s="1">
        <v>1</v>
      </c>
      <c r="X310" s="4" t="b">
        <v>0</v>
      </c>
    </row>
    <row r="311" spans="1:24" ht="17" customHeight="1" x14ac:dyDescent="0.2">
      <c r="A311" s="1" t="s">
        <v>650</v>
      </c>
      <c r="B311" s="1" t="s">
        <v>650</v>
      </c>
      <c r="C311" s="1" t="s">
        <v>20</v>
      </c>
      <c r="D311" s="1">
        <v>82</v>
      </c>
      <c r="E311" s="1">
        <v>91</v>
      </c>
      <c r="F311" s="1" t="s">
        <v>20</v>
      </c>
      <c r="G311" s="1" t="s">
        <v>651</v>
      </c>
      <c r="I311" s="1" t="s">
        <v>22</v>
      </c>
      <c r="J311" s="1" t="s">
        <v>1852</v>
      </c>
      <c r="K311" s="1">
        <v>9040</v>
      </c>
      <c r="L311" s="1">
        <v>9069</v>
      </c>
      <c r="M311" s="1" t="s">
        <v>652</v>
      </c>
      <c r="N311" s="1" t="e">
        <v>#N/A</v>
      </c>
      <c r="O311" s="1" t="s">
        <v>653</v>
      </c>
      <c r="P311" s="1" t="s">
        <v>652</v>
      </c>
      <c r="Q311" s="1">
        <v>8246</v>
      </c>
      <c r="R311" s="1">
        <v>8275</v>
      </c>
      <c r="S311" s="1" t="s">
        <v>654</v>
      </c>
      <c r="T311" s="1" t="s">
        <v>650</v>
      </c>
      <c r="U311" s="1">
        <v>1</v>
      </c>
      <c r="V311" s="1">
        <v>0</v>
      </c>
      <c r="W311" s="1">
        <v>1</v>
      </c>
      <c r="X311" s="4" t="b">
        <v>1</v>
      </c>
    </row>
    <row r="312" spans="1:24" ht="17" customHeight="1" x14ac:dyDescent="0.2">
      <c r="A312" s="1" t="s">
        <v>345</v>
      </c>
      <c r="B312" s="1" t="s">
        <v>345</v>
      </c>
      <c r="C312" s="1" t="s">
        <v>20</v>
      </c>
      <c r="D312" s="1">
        <v>83</v>
      </c>
      <c r="E312" s="1">
        <v>91</v>
      </c>
      <c r="F312" s="1" t="s">
        <v>20</v>
      </c>
      <c r="G312" s="1" t="s">
        <v>21</v>
      </c>
      <c r="I312" s="1" t="s">
        <v>22</v>
      </c>
      <c r="J312" s="1" t="s">
        <v>346</v>
      </c>
      <c r="K312" s="1">
        <v>9043</v>
      </c>
      <c r="L312" s="1">
        <v>9069</v>
      </c>
      <c r="M312" s="1" t="s">
        <v>347</v>
      </c>
      <c r="N312" s="1" t="s">
        <v>348</v>
      </c>
      <c r="O312" s="1" t="s">
        <v>349</v>
      </c>
      <c r="P312" s="1" t="s">
        <v>347</v>
      </c>
      <c r="Q312" s="1">
        <v>8249</v>
      </c>
      <c r="R312" s="1">
        <v>8275</v>
      </c>
      <c r="S312" s="1" t="s">
        <v>27</v>
      </c>
      <c r="T312" s="1" t="s">
        <v>28</v>
      </c>
      <c r="U312" s="1">
        <v>3</v>
      </c>
      <c r="V312" s="1">
        <v>3</v>
      </c>
      <c r="W312" s="1">
        <v>1</v>
      </c>
      <c r="X312" s="4" t="b">
        <v>0</v>
      </c>
    </row>
    <row r="313" spans="1:24" ht="17" customHeight="1" x14ac:dyDescent="0.2">
      <c r="A313" s="1" t="s">
        <v>19</v>
      </c>
      <c r="B313" s="1" t="s">
        <v>19</v>
      </c>
      <c r="C313" s="1" t="s">
        <v>20</v>
      </c>
      <c r="D313" s="1">
        <v>83</v>
      </c>
      <c r="E313" s="1">
        <v>91</v>
      </c>
      <c r="F313" s="1" t="s">
        <v>20</v>
      </c>
      <c r="G313" s="1" t="s">
        <v>21</v>
      </c>
      <c r="I313" s="1" t="s">
        <v>22</v>
      </c>
      <c r="J313" s="1" t="s">
        <v>23</v>
      </c>
      <c r="K313" s="1">
        <v>9043</v>
      </c>
      <c r="L313" s="1">
        <v>9069</v>
      </c>
      <c r="M313" s="1" t="s">
        <v>24</v>
      </c>
      <c r="N313" s="1" t="s">
        <v>25</v>
      </c>
      <c r="O313" s="1" t="s">
        <v>26</v>
      </c>
      <c r="P313" s="1" t="s">
        <v>24</v>
      </c>
      <c r="Q313" s="1">
        <v>8249</v>
      </c>
      <c r="R313" s="1">
        <v>8275</v>
      </c>
      <c r="S313" s="1" t="s">
        <v>27</v>
      </c>
      <c r="T313" s="1" t="s">
        <v>28</v>
      </c>
      <c r="U313" s="1">
        <v>2</v>
      </c>
      <c r="V313" s="1">
        <v>2</v>
      </c>
      <c r="W313" s="1">
        <v>1</v>
      </c>
      <c r="X313" s="4" t="b">
        <v>0</v>
      </c>
    </row>
    <row r="314" spans="1:24" ht="17" customHeight="1" x14ac:dyDescent="0.2">
      <c r="A314" s="1" t="s">
        <v>28</v>
      </c>
      <c r="B314" s="1" t="s">
        <v>28</v>
      </c>
      <c r="C314" s="1" t="s">
        <v>20</v>
      </c>
      <c r="D314" s="1">
        <v>83</v>
      </c>
      <c r="E314" s="1">
        <v>91</v>
      </c>
      <c r="F314" s="1" t="s">
        <v>20</v>
      </c>
      <c r="G314" s="1" t="s">
        <v>21</v>
      </c>
      <c r="I314" s="1" t="s">
        <v>22</v>
      </c>
      <c r="J314" s="1" t="s">
        <v>1895</v>
      </c>
      <c r="K314" s="1">
        <v>9043</v>
      </c>
      <c r="L314" s="1">
        <v>9069</v>
      </c>
      <c r="M314" s="1" t="s">
        <v>1678</v>
      </c>
      <c r="N314" s="1" t="s">
        <v>1678</v>
      </c>
      <c r="O314" s="1" t="s">
        <v>1531</v>
      </c>
      <c r="P314" s="1" t="s">
        <v>1678</v>
      </c>
      <c r="Q314" s="1">
        <v>8249</v>
      </c>
      <c r="R314" s="1">
        <v>8275</v>
      </c>
      <c r="S314" s="1" t="s">
        <v>27</v>
      </c>
      <c r="T314" s="1" t="s">
        <v>28</v>
      </c>
      <c r="W314" s="1">
        <v>1</v>
      </c>
      <c r="X314" s="4" t="b">
        <v>1</v>
      </c>
    </row>
    <row r="315" spans="1:24" ht="17" customHeight="1" x14ac:dyDescent="0.2">
      <c r="A315" s="1" t="s">
        <v>28</v>
      </c>
      <c r="B315" s="1" t="s">
        <v>28</v>
      </c>
      <c r="C315" s="1" t="s">
        <v>20</v>
      </c>
      <c r="D315" s="1">
        <v>83</v>
      </c>
      <c r="E315" s="1">
        <v>91</v>
      </c>
      <c r="F315" s="1" t="s">
        <v>20</v>
      </c>
      <c r="G315" s="1" t="s">
        <v>21</v>
      </c>
      <c r="H315" s="1" t="s">
        <v>31</v>
      </c>
      <c r="I315" s="1" t="s">
        <v>22</v>
      </c>
      <c r="J315" s="1" t="s">
        <v>32</v>
      </c>
      <c r="K315" s="1">
        <v>9043</v>
      </c>
      <c r="L315" s="1">
        <v>9069</v>
      </c>
      <c r="M315" s="1" t="s">
        <v>33</v>
      </c>
      <c r="N315" s="1" t="s">
        <v>34</v>
      </c>
      <c r="O315" s="1" t="s">
        <v>35</v>
      </c>
      <c r="P315" s="1" t="s">
        <v>33</v>
      </c>
      <c r="Q315" s="1">
        <v>8249</v>
      </c>
      <c r="R315" s="1">
        <v>8275</v>
      </c>
      <c r="S315" s="1" t="s">
        <v>27</v>
      </c>
      <c r="T315" s="1" t="s">
        <v>28</v>
      </c>
      <c r="U315" s="1">
        <v>1</v>
      </c>
      <c r="V315" s="1">
        <v>0</v>
      </c>
      <c r="W315" s="1">
        <v>1</v>
      </c>
      <c r="X315" s="4" t="b">
        <v>1</v>
      </c>
    </row>
    <row r="316" spans="1:24" ht="17" customHeight="1" x14ac:dyDescent="0.2">
      <c r="A316" s="1" t="s">
        <v>27</v>
      </c>
      <c r="B316" s="1" t="s">
        <v>27</v>
      </c>
      <c r="C316" s="1" t="s">
        <v>20</v>
      </c>
      <c r="D316" s="1">
        <v>83</v>
      </c>
      <c r="E316" s="1">
        <v>91</v>
      </c>
      <c r="F316" s="1" t="s">
        <v>20</v>
      </c>
      <c r="G316" s="1" t="s">
        <v>21</v>
      </c>
      <c r="I316" s="1" t="s">
        <v>22</v>
      </c>
      <c r="J316" s="1" t="s">
        <v>1871</v>
      </c>
      <c r="K316" s="1">
        <v>9043</v>
      </c>
      <c r="L316" s="1">
        <v>9069</v>
      </c>
      <c r="M316" s="1" t="s">
        <v>29</v>
      </c>
      <c r="N316" s="1" t="e">
        <v>#N/A</v>
      </c>
      <c r="O316" s="1" t="s">
        <v>30</v>
      </c>
      <c r="P316" s="1" t="s">
        <v>29</v>
      </c>
      <c r="Q316" s="1">
        <v>8249</v>
      </c>
      <c r="R316" s="1">
        <v>8275</v>
      </c>
      <c r="S316" s="1" t="s">
        <v>27</v>
      </c>
      <c r="T316" s="1" t="s">
        <v>28</v>
      </c>
      <c r="U316" s="1">
        <v>0</v>
      </c>
      <c r="V316" s="1">
        <v>1</v>
      </c>
      <c r="W316" s="1">
        <v>1</v>
      </c>
      <c r="X316" s="4" t="b">
        <v>0</v>
      </c>
    </row>
    <row r="317" spans="1:24" ht="17" customHeight="1" x14ac:dyDescent="0.2">
      <c r="A317" s="1" t="s">
        <v>111</v>
      </c>
      <c r="B317" s="1" t="s">
        <v>111</v>
      </c>
      <c r="C317" s="1" t="s">
        <v>20</v>
      </c>
      <c r="D317" s="1">
        <v>84</v>
      </c>
      <c r="E317" s="1">
        <v>92</v>
      </c>
      <c r="F317" s="1" t="s">
        <v>20</v>
      </c>
      <c r="G317" s="1" t="s">
        <v>112</v>
      </c>
      <c r="H317" s="1" t="s">
        <v>31</v>
      </c>
      <c r="I317" s="1" t="s">
        <v>22</v>
      </c>
      <c r="J317" s="1" t="s">
        <v>87</v>
      </c>
      <c r="K317" s="1">
        <v>9046</v>
      </c>
      <c r="L317" s="1">
        <v>9072</v>
      </c>
      <c r="M317" s="1" t="s">
        <v>113</v>
      </c>
      <c r="N317" s="1" t="s">
        <v>114</v>
      </c>
      <c r="O317" s="1" t="s">
        <v>115</v>
      </c>
      <c r="P317" s="1" t="s">
        <v>113</v>
      </c>
      <c r="Q317" s="1">
        <v>8252</v>
      </c>
      <c r="R317" s="1">
        <v>8278</v>
      </c>
      <c r="S317" s="1" t="s">
        <v>116</v>
      </c>
      <c r="T317" s="1" t="s">
        <v>111</v>
      </c>
      <c r="U317" s="1">
        <v>1</v>
      </c>
      <c r="V317" s="1">
        <v>0</v>
      </c>
      <c r="W317" s="1">
        <v>1</v>
      </c>
      <c r="X317" s="4" t="b">
        <v>1</v>
      </c>
    </row>
    <row r="318" spans="1:24" ht="17" customHeight="1" x14ac:dyDescent="0.2">
      <c r="A318" s="1" t="s">
        <v>111</v>
      </c>
      <c r="B318" s="1" t="s">
        <v>111</v>
      </c>
      <c r="C318" s="1" t="s">
        <v>20</v>
      </c>
      <c r="D318" s="1">
        <v>84</v>
      </c>
      <c r="E318" s="1">
        <v>92</v>
      </c>
      <c r="G318" s="1" t="s">
        <v>112</v>
      </c>
      <c r="I318" s="1" t="s">
        <v>22</v>
      </c>
      <c r="J318" s="1" t="s">
        <v>40</v>
      </c>
      <c r="K318" s="1">
        <v>9046</v>
      </c>
      <c r="L318" s="1">
        <v>9072</v>
      </c>
      <c r="M318" s="1" t="s">
        <v>1546</v>
      </c>
      <c r="N318" s="1" t="s">
        <v>1546</v>
      </c>
      <c r="O318" s="1" t="s">
        <v>1531</v>
      </c>
      <c r="P318" s="1" t="s">
        <v>1701</v>
      </c>
      <c r="Q318" s="1">
        <v>8252</v>
      </c>
      <c r="R318" s="1">
        <v>8278</v>
      </c>
      <c r="S318" s="1" t="s">
        <v>116</v>
      </c>
      <c r="T318" s="1" t="s">
        <v>111</v>
      </c>
      <c r="W318" s="1">
        <v>1</v>
      </c>
      <c r="X318" s="4" t="b">
        <v>1</v>
      </c>
    </row>
    <row r="319" spans="1:24" ht="17" customHeight="1" x14ac:dyDescent="0.2">
      <c r="A319" s="1" t="s">
        <v>283</v>
      </c>
      <c r="B319" s="1" t="s">
        <v>283</v>
      </c>
      <c r="C319" s="1" t="s">
        <v>20</v>
      </c>
      <c r="D319" s="1">
        <v>90</v>
      </c>
      <c r="E319" s="1">
        <v>97</v>
      </c>
      <c r="F319" s="1" t="s">
        <v>20</v>
      </c>
      <c r="G319" s="1" t="s">
        <v>284</v>
      </c>
      <c r="H319" s="1" t="s">
        <v>31</v>
      </c>
      <c r="I319" s="1" t="s">
        <v>22</v>
      </c>
      <c r="J319" s="1" t="s">
        <v>145</v>
      </c>
      <c r="K319" s="1">
        <v>9064</v>
      </c>
      <c r="L319" s="1">
        <v>9087</v>
      </c>
      <c r="M319" s="1" t="s">
        <v>285</v>
      </c>
      <c r="N319" s="1" t="s">
        <v>286</v>
      </c>
      <c r="O319" s="1" t="s">
        <v>26</v>
      </c>
      <c r="P319" s="1" t="s">
        <v>285</v>
      </c>
      <c r="Q319" s="1">
        <v>8270</v>
      </c>
      <c r="R319" s="1">
        <v>8293</v>
      </c>
      <c r="S319" s="1" t="s">
        <v>283</v>
      </c>
      <c r="T319" s="1" t="s">
        <v>283</v>
      </c>
      <c r="U319" s="1">
        <v>0</v>
      </c>
      <c r="V319" s="1">
        <v>0</v>
      </c>
      <c r="W319" s="1">
        <v>0</v>
      </c>
      <c r="X319" s="4" t="b">
        <v>1</v>
      </c>
    </row>
    <row r="320" spans="1:24" ht="17" customHeight="1" x14ac:dyDescent="0.2">
      <c r="A320" s="1" t="s">
        <v>685</v>
      </c>
      <c r="B320" s="1" t="s">
        <v>685</v>
      </c>
      <c r="C320" s="1" t="s">
        <v>20</v>
      </c>
      <c r="D320" s="1">
        <v>92</v>
      </c>
      <c r="E320" s="1">
        <v>100</v>
      </c>
      <c r="F320" s="1" t="s">
        <v>20</v>
      </c>
      <c r="G320" s="1" t="s">
        <v>686</v>
      </c>
      <c r="H320" s="1" t="s">
        <v>31</v>
      </c>
      <c r="I320" s="1" t="s">
        <v>22</v>
      </c>
      <c r="J320" s="1" t="s">
        <v>687</v>
      </c>
      <c r="K320" s="1">
        <v>9070</v>
      </c>
      <c r="L320" s="1">
        <v>9096</v>
      </c>
      <c r="M320" s="1" t="s">
        <v>688</v>
      </c>
      <c r="N320" s="1" t="s">
        <v>688</v>
      </c>
      <c r="O320" s="1" t="s">
        <v>689</v>
      </c>
      <c r="P320" s="1" t="s">
        <v>688</v>
      </c>
      <c r="Q320" s="1">
        <v>8276</v>
      </c>
      <c r="R320" s="1">
        <v>8302</v>
      </c>
      <c r="S320" s="1" t="s">
        <v>685</v>
      </c>
      <c r="T320" s="1" t="s">
        <v>685</v>
      </c>
      <c r="U320" s="1">
        <v>0</v>
      </c>
      <c r="V320" s="1">
        <v>0</v>
      </c>
      <c r="W320" s="1">
        <v>0</v>
      </c>
      <c r="X320" s="4" t="b">
        <v>1</v>
      </c>
    </row>
    <row r="321" spans="1:24" ht="17" customHeight="1" x14ac:dyDescent="0.2">
      <c r="A321" s="2" t="s">
        <v>1682</v>
      </c>
      <c r="B321" s="2" t="s">
        <v>1682</v>
      </c>
      <c r="C321" s="3" t="s">
        <v>20</v>
      </c>
      <c r="D321" s="2">
        <v>92</v>
      </c>
      <c r="E321" s="2">
        <v>102</v>
      </c>
      <c r="F321" s="3"/>
      <c r="G321" s="3" t="s">
        <v>1680</v>
      </c>
      <c r="H321" s="3"/>
      <c r="I321" s="3" t="s">
        <v>22</v>
      </c>
      <c r="J321" s="3" t="s">
        <v>1892</v>
      </c>
      <c r="K321" s="3">
        <v>9070</v>
      </c>
      <c r="L321" s="3">
        <v>9102</v>
      </c>
      <c r="M321" s="1" t="s">
        <v>1681</v>
      </c>
      <c r="P321" s="1" t="s">
        <v>1681</v>
      </c>
      <c r="Q321" s="1">
        <v>8276</v>
      </c>
      <c r="R321" s="1">
        <v>8308</v>
      </c>
      <c r="S321" s="1" t="s">
        <v>1682</v>
      </c>
      <c r="T321" s="1" t="s">
        <v>1679</v>
      </c>
      <c r="X321" s="4"/>
    </row>
    <row r="322" spans="1:24" ht="17" customHeight="1" x14ac:dyDescent="0.2">
      <c r="A322" s="1" t="s">
        <v>1128</v>
      </c>
      <c r="B322" s="1" t="s">
        <v>1128</v>
      </c>
      <c r="C322" s="1" t="s">
        <v>20</v>
      </c>
      <c r="D322" s="1">
        <v>105</v>
      </c>
      <c r="E322" s="1">
        <v>114</v>
      </c>
      <c r="F322" s="1" t="s">
        <v>20</v>
      </c>
      <c r="G322" s="1" t="s">
        <v>1129</v>
      </c>
      <c r="H322" s="1" t="s">
        <v>31</v>
      </c>
      <c r="I322" s="1" t="s">
        <v>22</v>
      </c>
      <c r="J322" s="1" t="s">
        <v>419</v>
      </c>
      <c r="K322" s="1">
        <v>9109</v>
      </c>
      <c r="L322" s="1">
        <v>9138</v>
      </c>
      <c r="M322" s="1" t="s">
        <v>1130</v>
      </c>
      <c r="N322" s="1" t="s">
        <v>1131</v>
      </c>
      <c r="O322" s="1" t="s">
        <v>1132</v>
      </c>
      <c r="P322" s="1" t="s">
        <v>1130</v>
      </c>
      <c r="Q322" s="1">
        <v>8315</v>
      </c>
      <c r="R322" s="1">
        <v>8344</v>
      </c>
      <c r="S322" s="1" t="s">
        <v>1133</v>
      </c>
      <c r="T322" s="1" t="s">
        <v>1128</v>
      </c>
      <c r="U322" s="1">
        <v>2</v>
      </c>
      <c r="V322" s="1">
        <v>0</v>
      </c>
      <c r="W322" s="1">
        <v>2</v>
      </c>
      <c r="X322" s="4" t="b">
        <v>1</v>
      </c>
    </row>
    <row r="323" spans="1:24" ht="17" customHeight="1" x14ac:dyDescent="0.2">
      <c r="A323" s="1" t="s">
        <v>1134</v>
      </c>
      <c r="B323" s="1" t="s">
        <v>1134</v>
      </c>
      <c r="C323" s="1" t="s">
        <v>20</v>
      </c>
      <c r="D323" s="1">
        <v>105</v>
      </c>
      <c r="E323" s="1">
        <v>115</v>
      </c>
      <c r="F323" s="1" t="s">
        <v>20</v>
      </c>
      <c r="G323" s="1" t="s">
        <v>745</v>
      </c>
      <c r="I323" s="1" t="s">
        <v>22</v>
      </c>
      <c r="J323" s="1" t="s">
        <v>1893</v>
      </c>
      <c r="K323" s="1">
        <v>9109</v>
      </c>
      <c r="L323" s="1">
        <v>9141</v>
      </c>
      <c r="M323" s="1" t="s">
        <v>1135</v>
      </c>
      <c r="N323" s="1" t="s">
        <v>1135</v>
      </c>
      <c r="O323" s="1" t="s">
        <v>1136</v>
      </c>
      <c r="P323" s="1" t="s">
        <v>1135</v>
      </c>
      <c r="Q323" s="1">
        <v>8315</v>
      </c>
      <c r="R323" s="1">
        <v>8347</v>
      </c>
      <c r="S323" s="1" t="s">
        <v>746</v>
      </c>
      <c r="T323" s="1" t="s">
        <v>747</v>
      </c>
      <c r="U323" s="1">
        <v>1</v>
      </c>
      <c r="V323" s="1">
        <v>1</v>
      </c>
      <c r="W323" s="1">
        <v>2</v>
      </c>
      <c r="X323" s="4" t="b">
        <v>0</v>
      </c>
    </row>
    <row r="324" spans="1:24" ht="17" customHeight="1" x14ac:dyDescent="0.2">
      <c r="A324" s="2" t="s">
        <v>744</v>
      </c>
      <c r="B324" s="2" t="s">
        <v>744</v>
      </c>
      <c r="C324" s="1" t="s">
        <v>20</v>
      </c>
      <c r="D324" s="1">
        <v>105</v>
      </c>
      <c r="E324" s="1">
        <v>115</v>
      </c>
      <c r="G324" s="1" t="s">
        <v>745</v>
      </c>
      <c r="I324" s="1" t="s">
        <v>22</v>
      </c>
      <c r="J324" s="1" t="s">
        <v>1872</v>
      </c>
      <c r="K324" s="1">
        <v>9109</v>
      </c>
      <c r="L324" s="1">
        <v>9141</v>
      </c>
      <c r="M324" s="1" t="s">
        <v>1599</v>
      </c>
      <c r="N324" s="1" t="s">
        <v>1599</v>
      </c>
      <c r="O324" s="1" t="s">
        <v>1531</v>
      </c>
      <c r="P324" s="1" t="s">
        <v>1599</v>
      </c>
      <c r="Q324" s="1">
        <v>8315</v>
      </c>
      <c r="R324" s="1">
        <v>8347</v>
      </c>
      <c r="S324" s="2" t="s">
        <v>744</v>
      </c>
      <c r="T324" s="2" t="s">
        <v>744</v>
      </c>
      <c r="W324" s="1">
        <v>2</v>
      </c>
      <c r="X324" s="4" t="b">
        <v>1</v>
      </c>
    </row>
    <row r="325" spans="1:24" ht="17" customHeight="1" x14ac:dyDescent="0.2">
      <c r="A325" s="2" t="s">
        <v>1097</v>
      </c>
      <c r="B325" s="2" t="s">
        <v>1097</v>
      </c>
      <c r="C325" s="3" t="s">
        <v>20</v>
      </c>
      <c r="D325" s="2">
        <v>106</v>
      </c>
      <c r="E325" s="2">
        <v>114</v>
      </c>
      <c r="G325" s="3" t="s">
        <v>1098</v>
      </c>
      <c r="J325" s="3" t="s">
        <v>1903</v>
      </c>
      <c r="K325" s="1">
        <v>9112</v>
      </c>
      <c r="L325" s="1">
        <v>9138</v>
      </c>
      <c r="P325" s="1" t="s">
        <v>1108</v>
      </c>
      <c r="Q325" s="1">
        <v>8318</v>
      </c>
      <c r="R325" s="1">
        <v>8344</v>
      </c>
      <c r="S325" s="2" t="s">
        <v>1097</v>
      </c>
      <c r="T325" s="2" t="s">
        <v>1097</v>
      </c>
      <c r="X325" s="4"/>
    </row>
    <row r="326" spans="1:24" ht="17" customHeight="1" x14ac:dyDescent="0.2">
      <c r="A326" s="1" t="s">
        <v>1099</v>
      </c>
      <c r="B326" s="1" t="s">
        <v>1099</v>
      </c>
      <c r="C326" s="1" t="s">
        <v>20</v>
      </c>
      <c r="D326" s="1">
        <v>106</v>
      </c>
      <c r="E326" s="1">
        <v>114</v>
      </c>
      <c r="F326" s="1" t="s">
        <v>20</v>
      </c>
      <c r="G326" s="1" t="s">
        <v>1098</v>
      </c>
      <c r="I326" s="1" t="s">
        <v>22</v>
      </c>
      <c r="J326" s="1" t="s">
        <v>1815</v>
      </c>
      <c r="K326" s="1">
        <v>9112</v>
      </c>
      <c r="L326" s="1">
        <v>9138</v>
      </c>
      <c r="M326" s="1" t="s">
        <v>1107</v>
      </c>
      <c r="N326" s="1" t="s">
        <v>1108</v>
      </c>
      <c r="O326" s="1" t="s">
        <v>1109</v>
      </c>
      <c r="P326" s="1" t="s">
        <v>1107</v>
      </c>
      <c r="Q326" s="1">
        <v>8318</v>
      </c>
      <c r="R326" s="1">
        <v>8344</v>
      </c>
      <c r="S326" s="1" t="s">
        <v>1099</v>
      </c>
      <c r="T326" s="1" t="s">
        <v>1097</v>
      </c>
      <c r="U326" s="1">
        <v>0</v>
      </c>
      <c r="V326" s="1">
        <v>1</v>
      </c>
      <c r="W326" s="1">
        <v>1</v>
      </c>
      <c r="X326" s="4" t="b">
        <v>0</v>
      </c>
    </row>
    <row r="327" spans="1:24" ht="17" customHeight="1" x14ac:dyDescent="0.2">
      <c r="A327" s="1" t="s">
        <v>1100</v>
      </c>
      <c r="B327" s="1" t="s">
        <v>1100</v>
      </c>
      <c r="C327" s="1" t="s">
        <v>20</v>
      </c>
      <c r="D327" s="1">
        <v>106</v>
      </c>
      <c r="E327" s="1">
        <v>115</v>
      </c>
      <c r="F327" s="1" t="s">
        <v>20</v>
      </c>
      <c r="G327" s="1" t="s">
        <v>1101</v>
      </c>
      <c r="H327" s="1" t="s">
        <v>31</v>
      </c>
      <c r="I327" s="1" t="s">
        <v>22</v>
      </c>
      <c r="J327" s="1" t="s">
        <v>1102</v>
      </c>
      <c r="K327" s="1">
        <v>9115</v>
      </c>
      <c r="L327" s="1">
        <v>9141</v>
      </c>
      <c r="M327" s="1" t="s">
        <v>1103</v>
      </c>
      <c r="N327" s="1" t="e">
        <v>#N/A</v>
      </c>
      <c r="O327" s="1" t="s">
        <v>1104</v>
      </c>
      <c r="P327" s="1" t="s">
        <v>1103</v>
      </c>
      <c r="Q327" s="1">
        <v>8321</v>
      </c>
      <c r="R327" s="1">
        <v>8347</v>
      </c>
      <c r="S327" s="1" t="s">
        <v>1105</v>
      </c>
      <c r="T327" s="1" t="s">
        <v>1106</v>
      </c>
      <c r="U327" s="1">
        <v>2</v>
      </c>
      <c r="V327" s="1">
        <v>1</v>
      </c>
      <c r="W327" s="1">
        <v>1</v>
      </c>
      <c r="X327" s="4" t="b">
        <v>0</v>
      </c>
    </row>
    <row r="328" spans="1:24" ht="17" customHeight="1" x14ac:dyDescent="0.2">
      <c r="A328" s="2" t="s">
        <v>1782</v>
      </c>
      <c r="B328" s="2" t="s">
        <v>1782</v>
      </c>
      <c r="C328" s="3" t="s">
        <v>20</v>
      </c>
      <c r="D328" s="2">
        <v>107</v>
      </c>
      <c r="E328" s="2">
        <v>115</v>
      </c>
      <c r="F328" s="3"/>
      <c r="G328" s="3" t="s">
        <v>1101</v>
      </c>
      <c r="H328" s="3"/>
      <c r="I328" s="3" t="s">
        <v>22</v>
      </c>
      <c r="J328" s="3" t="s">
        <v>1808</v>
      </c>
      <c r="K328" s="3">
        <v>9115</v>
      </c>
      <c r="L328" s="3">
        <v>9141</v>
      </c>
      <c r="M328" s="1" t="s">
        <v>1683</v>
      </c>
      <c r="P328" s="1" t="s">
        <v>1683</v>
      </c>
      <c r="Q328" s="1">
        <v>8321</v>
      </c>
      <c r="R328" s="1">
        <v>8347</v>
      </c>
      <c r="S328" s="1" t="s">
        <v>1105</v>
      </c>
      <c r="T328" s="1" t="s">
        <v>1106</v>
      </c>
      <c r="X328" s="4"/>
    </row>
    <row r="329" spans="1:24" ht="17" customHeight="1" x14ac:dyDescent="0.2">
      <c r="A329" s="1" t="s">
        <v>485</v>
      </c>
      <c r="B329" s="1" t="s">
        <v>485</v>
      </c>
      <c r="C329" s="1" t="s">
        <v>20</v>
      </c>
      <c r="D329" s="1">
        <v>116</v>
      </c>
      <c r="E329" s="1">
        <v>124</v>
      </c>
      <c r="F329" s="1" t="s">
        <v>20</v>
      </c>
      <c r="G329" s="1" t="s">
        <v>486</v>
      </c>
      <c r="I329" s="1" t="s">
        <v>22</v>
      </c>
      <c r="J329" s="1" t="s">
        <v>1873</v>
      </c>
      <c r="K329" s="1">
        <v>9142</v>
      </c>
      <c r="L329" s="1">
        <v>9168</v>
      </c>
      <c r="M329" s="1" t="s">
        <v>487</v>
      </c>
      <c r="N329" s="1" t="s">
        <v>488</v>
      </c>
      <c r="O329" s="1" t="s">
        <v>489</v>
      </c>
      <c r="P329" s="1" t="s">
        <v>487</v>
      </c>
      <c r="Q329" s="1">
        <v>8348</v>
      </c>
      <c r="R329" s="1">
        <v>8374</v>
      </c>
      <c r="S329" s="1" t="s">
        <v>485</v>
      </c>
      <c r="T329" s="1" t="s">
        <v>490</v>
      </c>
      <c r="U329" s="1">
        <v>0</v>
      </c>
      <c r="V329" s="1">
        <v>1</v>
      </c>
      <c r="W329" s="1">
        <v>1</v>
      </c>
      <c r="X329" s="4" t="b">
        <v>0</v>
      </c>
    </row>
    <row r="330" spans="1:24" ht="17" customHeight="1" x14ac:dyDescent="0.2">
      <c r="A330" s="1" t="s">
        <v>485</v>
      </c>
      <c r="B330" s="1" t="s">
        <v>485</v>
      </c>
      <c r="C330" s="1" t="s">
        <v>20</v>
      </c>
      <c r="D330" s="1">
        <v>116</v>
      </c>
      <c r="E330" s="1">
        <v>124</v>
      </c>
      <c r="G330" s="1" t="s">
        <v>486</v>
      </c>
      <c r="I330" s="1" t="s">
        <v>22</v>
      </c>
      <c r="J330" s="1" t="s">
        <v>1712</v>
      </c>
      <c r="K330" s="1">
        <v>9142</v>
      </c>
      <c r="L330" s="1">
        <v>9168</v>
      </c>
      <c r="M330" s="1" t="s">
        <v>1591</v>
      </c>
      <c r="N330" s="1" t="s">
        <v>1591</v>
      </c>
      <c r="O330" s="1" t="s">
        <v>1531</v>
      </c>
      <c r="P330" s="1" t="s">
        <v>1713</v>
      </c>
      <c r="Q330" s="1">
        <v>8348</v>
      </c>
      <c r="R330" s="1">
        <v>8374</v>
      </c>
      <c r="S330" s="1" t="s">
        <v>485</v>
      </c>
      <c r="T330" s="1" t="s">
        <v>490</v>
      </c>
      <c r="U330" s="1">
        <v>0</v>
      </c>
      <c r="V330" s="1">
        <v>1</v>
      </c>
      <c r="W330" s="1">
        <v>1</v>
      </c>
      <c r="X330" s="4" t="b">
        <v>0</v>
      </c>
    </row>
    <row r="331" spans="1:24" ht="17" customHeight="1" x14ac:dyDescent="0.2">
      <c r="A331" s="1" t="s">
        <v>491</v>
      </c>
      <c r="B331" s="1" t="s">
        <v>491</v>
      </c>
      <c r="C331" s="1" t="s">
        <v>20</v>
      </c>
      <c r="D331" s="1">
        <v>116</v>
      </c>
      <c r="E331" s="1">
        <v>125</v>
      </c>
      <c r="F331" s="1" t="s">
        <v>20</v>
      </c>
      <c r="G331" s="1" t="s">
        <v>492</v>
      </c>
      <c r="I331" s="1" t="s">
        <v>22</v>
      </c>
      <c r="J331" s="1" t="s">
        <v>1830</v>
      </c>
      <c r="K331" s="1">
        <v>9142</v>
      </c>
      <c r="L331" s="1">
        <v>9171</v>
      </c>
      <c r="M331" s="1" t="s">
        <v>488</v>
      </c>
      <c r="N331" s="1" t="e">
        <v>#N/A</v>
      </c>
      <c r="O331" s="1" t="s">
        <v>493</v>
      </c>
      <c r="P331" s="1" t="s">
        <v>488</v>
      </c>
      <c r="Q331" s="1">
        <v>8348</v>
      </c>
      <c r="R331" s="1">
        <v>8377</v>
      </c>
      <c r="S331" s="1" t="s">
        <v>491</v>
      </c>
      <c r="T331" s="1" t="s">
        <v>494</v>
      </c>
      <c r="U331" s="1">
        <v>0</v>
      </c>
      <c r="V331" s="1">
        <v>1</v>
      </c>
      <c r="W331" s="1">
        <v>1</v>
      </c>
      <c r="X331" s="4" t="b">
        <v>0</v>
      </c>
    </row>
    <row r="332" spans="1:24" ht="17" customHeight="1" x14ac:dyDescent="0.2">
      <c r="A332" s="1" t="s">
        <v>1292</v>
      </c>
      <c r="B332" s="1" t="s">
        <v>1292</v>
      </c>
      <c r="C332" s="1" t="s">
        <v>20</v>
      </c>
      <c r="D332" s="1">
        <v>117</v>
      </c>
      <c r="E332" s="1">
        <v>127</v>
      </c>
      <c r="F332" s="1" t="s">
        <v>20</v>
      </c>
      <c r="G332" s="1" t="s">
        <v>1293</v>
      </c>
      <c r="H332" s="1" t="s">
        <v>31</v>
      </c>
      <c r="I332" s="1" t="s">
        <v>22</v>
      </c>
      <c r="J332" s="1" t="s">
        <v>844</v>
      </c>
      <c r="K332" s="1">
        <v>9145</v>
      </c>
      <c r="L332" s="1">
        <v>9177</v>
      </c>
      <c r="M332" s="1" t="s">
        <v>1294</v>
      </c>
      <c r="N332" s="1" t="s">
        <v>1294</v>
      </c>
      <c r="O332" s="1" t="s">
        <v>1295</v>
      </c>
      <c r="P332" s="1" t="s">
        <v>1294</v>
      </c>
      <c r="Q332" s="1">
        <v>8351</v>
      </c>
      <c r="R332" s="1">
        <v>8383</v>
      </c>
      <c r="S332" s="1" t="s">
        <v>1292</v>
      </c>
      <c r="T332" s="1" t="s">
        <v>1296</v>
      </c>
      <c r="U332" s="1">
        <v>0</v>
      </c>
      <c r="V332" s="1">
        <v>1</v>
      </c>
      <c r="W332" s="1">
        <v>1</v>
      </c>
      <c r="X332" s="4" t="b">
        <v>0</v>
      </c>
    </row>
    <row r="333" spans="1:24" ht="17" customHeight="1" x14ac:dyDescent="0.2">
      <c r="A333" s="1" t="s">
        <v>1684</v>
      </c>
      <c r="B333" s="2" t="s">
        <v>1687</v>
      </c>
      <c r="C333" s="1" t="s">
        <v>20</v>
      </c>
      <c r="D333" s="1">
        <v>119</v>
      </c>
      <c r="E333" s="1">
        <v>127</v>
      </c>
      <c r="G333" s="1" t="s">
        <v>1685</v>
      </c>
      <c r="I333" s="1" t="s">
        <v>22</v>
      </c>
      <c r="J333" s="3" t="s">
        <v>1874</v>
      </c>
      <c r="K333" s="1">
        <v>9151</v>
      </c>
      <c r="L333" s="1">
        <v>9177</v>
      </c>
      <c r="M333" s="1" t="s">
        <v>1686</v>
      </c>
      <c r="N333" s="1" t="s">
        <v>1686</v>
      </c>
      <c r="O333" s="1" t="s">
        <v>1531</v>
      </c>
      <c r="P333" s="1" t="s">
        <v>1686</v>
      </c>
      <c r="Q333" s="1">
        <v>8357</v>
      </c>
      <c r="R333" s="1">
        <v>8383</v>
      </c>
      <c r="S333" s="1" t="s">
        <v>1687</v>
      </c>
      <c r="T333" s="1" t="s">
        <v>1684</v>
      </c>
      <c r="W333" s="1">
        <v>1</v>
      </c>
      <c r="X333" s="4" t="b">
        <v>0</v>
      </c>
    </row>
    <row r="334" spans="1:24" ht="17" customHeight="1" x14ac:dyDescent="0.2">
      <c r="A334" s="1" t="s">
        <v>1684</v>
      </c>
      <c r="B334" s="2" t="s">
        <v>1687</v>
      </c>
      <c r="C334" s="1" t="s">
        <v>20</v>
      </c>
      <c r="D334" s="1">
        <v>119</v>
      </c>
      <c r="E334" s="1">
        <v>127</v>
      </c>
      <c r="G334" s="1" t="s">
        <v>1685</v>
      </c>
      <c r="I334" s="1" t="s">
        <v>22</v>
      </c>
      <c r="J334" s="3" t="s">
        <v>1875</v>
      </c>
      <c r="K334" s="1">
        <v>9151</v>
      </c>
      <c r="L334" s="1">
        <v>9177</v>
      </c>
      <c r="M334" s="1" t="s">
        <v>1686</v>
      </c>
      <c r="N334" s="1" t="s">
        <v>1686</v>
      </c>
      <c r="O334" s="1" t="s">
        <v>1531</v>
      </c>
      <c r="P334" s="1" t="s">
        <v>1792</v>
      </c>
      <c r="Q334" s="1">
        <v>8357</v>
      </c>
      <c r="R334" s="1">
        <v>8383</v>
      </c>
      <c r="S334" s="1" t="s">
        <v>1687</v>
      </c>
      <c r="T334" s="1" t="s">
        <v>1684</v>
      </c>
      <c r="W334" s="1">
        <v>1</v>
      </c>
      <c r="X334" s="4" t="b">
        <v>0</v>
      </c>
    </row>
    <row r="335" spans="1:24" ht="17" customHeight="1" x14ac:dyDescent="0.2">
      <c r="A335" s="1" t="s">
        <v>1464</v>
      </c>
      <c r="B335" s="1" t="s">
        <v>1464</v>
      </c>
      <c r="C335" s="1" t="s">
        <v>20</v>
      </c>
      <c r="D335" s="1">
        <v>120</v>
      </c>
      <c r="E335" s="1">
        <v>128</v>
      </c>
      <c r="F335" s="1" t="s">
        <v>20</v>
      </c>
      <c r="G335" s="1" t="s">
        <v>1465</v>
      </c>
      <c r="H335" s="1" t="s">
        <v>31</v>
      </c>
      <c r="I335" s="1" t="s">
        <v>22</v>
      </c>
      <c r="J335" s="1" t="s">
        <v>427</v>
      </c>
      <c r="K335" s="1">
        <v>9154</v>
      </c>
      <c r="L335" s="1">
        <v>9180</v>
      </c>
      <c r="M335" s="1" t="s">
        <v>1467</v>
      </c>
      <c r="N335" s="1" t="s">
        <v>1467</v>
      </c>
      <c r="O335" s="1" t="s">
        <v>1468</v>
      </c>
      <c r="P335" s="1" t="s">
        <v>1887</v>
      </c>
      <c r="Q335" s="1">
        <v>8360</v>
      </c>
      <c r="R335" s="1">
        <v>8386</v>
      </c>
      <c r="S335" s="1" t="s">
        <v>1464</v>
      </c>
      <c r="T335" s="1" t="s">
        <v>1466</v>
      </c>
      <c r="U335" s="1">
        <v>0</v>
      </c>
      <c r="V335" s="1">
        <v>1</v>
      </c>
      <c r="W335" s="1">
        <v>1</v>
      </c>
      <c r="X335" s="4" t="b">
        <v>0</v>
      </c>
    </row>
    <row r="336" spans="1:24" ht="17" customHeight="1" x14ac:dyDescent="0.2">
      <c r="A336" s="1" t="s">
        <v>1464</v>
      </c>
      <c r="B336" s="1" t="s">
        <v>1464</v>
      </c>
      <c r="C336" s="1" t="s">
        <v>20</v>
      </c>
      <c r="D336" s="1">
        <v>120</v>
      </c>
      <c r="E336" s="1">
        <v>128</v>
      </c>
      <c r="F336" s="1" t="s">
        <v>20</v>
      </c>
      <c r="G336" s="1" t="s">
        <v>1465</v>
      </c>
      <c r="H336" s="1" t="s">
        <v>31</v>
      </c>
      <c r="I336" s="1" t="s">
        <v>22</v>
      </c>
      <c r="J336" s="1" t="s">
        <v>1896</v>
      </c>
      <c r="K336" s="1">
        <v>9154</v>
      </c>
      <c r="L336" s="1">
        <v>9180</v>
      </c>
      <c r="M336" s="1" t="s">
        <v>1467</v>
      </c>
      <c r="N336" s="1" t="s">
        <v>1467</v>
      </c>
      <c r="O336" s="1" t="s">
        <v>1468</v>
      </c>
      <c r="P336" s="1" t="s">
        <v>1467</v>
      </c>
      <c r="Q336" s="1">
        <v>8360</v>
      </c>
      <c r="R336" s="1">
        <v>8386</v>
      </c>
      <c r="S336" s="1" t="s">
        <v>1464</v>
      </c>
      <c r="T336" s="1" t="s">
        <v>1466</v>
      </c>
      <c r="U336" s="1">
        <v>0</v>
      </c>
      <c r="V336" s="1">
        <v>1</v>
      </c>
      <c r="W336" s="1">
        <v>1</v>
      </c>
      <c r="X336" s="4" t="b">
        <v>0</v>
      </c>
    </row>
    <row r="337" spans="1:24" ht="17" customHeight="1" x14ac:dyDescent="0.2">
      <c r="A337" s="1" t="s">
        <v>1466</v>
      </c>
      <c r="B337" s="1" t="s">
        <v>1464</v>
      </c>
      <c r="C337" s="1" t="s">
        <v>20</v>
      </c>
      <c r="D337" s="1">
        <v>120</v>
      </c>
      <c r="E337" s="1">
        <v>128</v>
      </c>
      <c r="G337" s="1" t="s">
        <v>1465</v>
      </c>
      <c r="I337" s="1" t="s">
        <v>22</v>
      </c>
      <c r="J337" s="1" t="s">
        <v>1876</v>
      </c>
      <c r="K337" s="1">
        <v>9154</v>
      </c>
      <c r="L337" s="1">
        <v>9180</v>
      </c>
      <c r="M337" s="1" t="s">
        <v>1572</v>
      </c>
      <c r="N337" s="1" t="s">
        <v>1572</v>
      </c>
      <c r="O337" s="1" t="s">
        <v>1531</v>
      </c>
      <c r="P337" s="1" t="s">
        <v>1572</v>
      </c>
      <c r="Q337" s="1">
        <v>8360</v>
      </c>
      <c r="R337" s="1">
        <v>8386</v>
      </c>
      <c r="S337" s="1" t="s">
        <v>1464</v>
      </c>
      <c r="T337" s="1" t="s">
        <v>1466</v>
      </c>
      <c r="W337" s="1">
        <v>1</v>
      </c>
      <c r="X337" s="4" t="b">
        <v>0</v>
      </c>
    </row>
    <row r="338" spans="1:24" ht="17" customHeight="1" x14ac:dyDescent="0.2">
      <c r="A338" s="1" t="s">
        <v>1464</v>
      </c>
      <c r="B338" s="1" t="s">
        <v>1464</v>
      </c>
      <c r="C338" s="1" t="s">
        <v>20</v>
      </c>
      <c r="D338" s="1">
        <v>120</v>
      </c>
      <c r="E338" s="1">
        <v>128</v>
      </c>
      <c r="F338" s="1" t="s">
        <v>20</v>
      </c>
      <c r="G338" s="1" t="s">
        <v>1465</v>
      </c>
      <c r="H338" s="1" t="s">
        <v>31</v>
      </c>
      <c r="I338" s="1" t="s">
        <v>22</v>
      </c>
      <c r="J338" s="1" t="s">
        <v>1877</v>
      </c>
      <c r="K338" s="1">
        <v>9154</v>
      </c>
      <c r="L338" s="1">
        <v>9180</v>
      </c>
      <c r="M338" s="1" t="s">
        <v>1768</v>
      </c>
      <c r="N338" s="1" t="e">
        <v>#N/A</v>
      </c>
      <c r="O338" s="1" t="s">
        <v>1769</v>
      </c>
      <c r="P338" s="1" t="s">
        <v>1768</v>
      </c>
      <c r="Q338" s="1">
        <v>8360</v>
      </c>
      <c r="R338" s="1">
        <v>8386</v>
      </c>
      <c r="S338" s="1" t="s">
        <v>1464</v>
      </c>
      <c r="T338" s="1" t="s">
        <v>1466</v>
      </c>
      <c r="U338" s="1">
        <v>0</v>
      </c>
      <c r="V338" s="1">
        <v>1</v>
      </c>
      <c r="W338" s="1">
        <v>1</v>
      </c>
      <c r="X338" s="4" t="b">
        <v>0</v>
      </c>
    </row>
    <row r="339" spans="1:24" ht="17" customHeight="1" x14ac:dyDescent="0.2">
      <c r="A339" s="1" t="s">
        <v>287</v>
      </c>
      <c r="B339" s="1" t="s">
        <v>287</v>
      </c>
      <c r="C339" s="1" t="s">
        <v>20</v>
      </c>
      <c r="D339" s="1">
        <v>121</v>
      </c>
      <c r="E339" s="1">
        <v>129</v>
      </c>
      <c r="F339" s="1" t="s">
        <v>20</v>
      </c>
      <c r="G339" s="1" t="s">
        <v>288</v>
      </c>
      <c r="H339" s="1" t="s">
        <v>31</v>
      </c>
      <c r="I339" s="1" t="s">
        <v>22</v>
      </c>
      <c r="J339" s="1" t="s">
        <v>289</v>
      </c>
      <c r="K339" s="1">
        <v>9157</v>
      </c>
      <c r="L339" s="1">
        <v>9183</v>
      </c>
      <c r="M339" s="1" t="s">
        <v>290</v>
      </c>
      <c r="N339" s="1" t="e">
        <v>#N/A</v>
      </c>
      <c r="O339" s="1" t="s">
        <v>291</v>
      </c>
      <c r="P339" s="1" t="s">
        <v>290</v>
      </c>
      <c r="Q339" s="1">
        <v>8363</v>
      </c>
      <c r="R339" s="1">
        <v>8389</v>
      </c>
      <c r="S339" s="1" t="s">
        <v>287</v>
      </c>
      <c r="T339" s="1" t="s">
        <v>292</v>
      </c>
      <c r="U339" s="1">
        <v>0</v>
      </c>
      <c r="V339" s="1">
        <v>1</v>
      </c>
      <c r="W339" s="1">
        <v>1</v>
      </c>
      <c r="X339" s="4" t="b">
        <v>0</v>
      </c>
    </row>
    <row r="340" spans="1:24" ht="17" customHeight="1" x14ac:dyDescent="0.2">
      <c r="A340" s="2" t="s">
        <v>1691</v>
      </c>
      <c r="B340" s="2" t="s">
        <v>1691</v>
      </c>
      <c r="C340" s="1" t="s">
        <v>20</v>
      </c>
      <c r="D340" s="1">
        <v>126</v>
      </c>
      <c r="E340" s="1">
        <v>135</v>
      </c>
      <c r="G340" s="1" t="s">
        <v>1689</v>
      </c>
      <c r="I340" s="1" t="s">
        <v>22</v>
      </c>
      <c r="J340" s="1" t="s">
        <v>775</v>
      </c>
      <c r="K340" s="1">
        <v>9172</v>
      </c>
      <c r="L340" s="1">
        <v>9201</v>
      </c>
      <c r="M340" s="1" t="s">
        <v>1690</v>
      </c>
      <c r="N340" s="1" t="s">
        <v>1690</v>
      </c>
      <c r="O340" s="1" t="s">
        <v>1531</v>
      </c>
      <c r="P340" s="1" t="s">
        <v>1690</v>
      </c>
      <c r="Q340" s="1">
        <v>8378</v>
      </c>
      <c r="R340" s="1">
        <v>8407</v>
      </c>
      <c r="S340" s="1" t="s">
        <v>1691</v>
      </c>
      <c r="T340" s="1" t="s">
        <v>1688</v>
      </c>
      <c r="W340" s="1">
        <v>1</v>
      </c>
      <c r="X340" s="4" t="b">
        <v>1</v>
      </c>
    </row>
    <row r="341" spans="1:24" ht="17" customHeight="1" x14ac:dyDescent="0.2">
      <c r="A341" s="1" t="s">
        <v>1513</v>
      </c>
      <c r="B341" s="1" t="s">
        <v>1513</v>
      </c>
      <c r="C341" s="1" t="s">
        <v>20</v>
      </c>
      <c r="D341" s="1">
        <v>127</v>
      </c>
      <c r="E341" s="1">
        <v>135</v>
      </c>
      <c r="F341" s="1" t="s">
        <v>20</v>
      </c>
      <c r="G341" s="1" t="s">
        <v>1514</v>
      </c>
      <c r="I341" s="1" t="s">
        <v>22</v>
      </c>
      <c r="J341" s="1" t="s">
        <v>1878</v>
      </c>
      <c r="K341" s="1">
        <v>9175</v>
      </c>
      <c r="L341" s="1">
        <v>9201</v>
      </c>
      <c r="M341" s="1" t="s">
        <v>1515</v>
      </c>
      <c r="N341" s="1" t="s">
        <v>1515</v>
      </c>
      <c r="O341" s="1" t="s">
        <v>1516</v>
      </c>
      <c r="P341" s="1" t="s">
        <v>1515</v>
      </c>
      <c r="Q341" s="1">
        <v>8381</v>
      </c>
      <c r="R341" s="1">
        <v>8407</v>
      </c>
      <c r="S341" s="1" t="s">
        <v>1513</v>
      </c>
      <c r="T341" s="1" t="s">
        <v>1517</v>
      </c>
      <c r="U341" s="1">
        <v>0</v>
      </c>
      <c r="V341" s="1">
        <v>1</v>
      </c>
      <c r="W341" s="1">
        <v>1</v>
      </c>
      <c r="X341" s="4" t="b">
        <v>0</v>
      </c>
    </row>
    <row r="342" spans="1:24" ht="17" customHeight="1" x14ac:dyDescent="0.2">
      <c r="A342" s="1" t="s">
        <v>1513</v>
      </c>
      <c r="B342" s="1" t="s">
        <v>1513</v>
      </c>
      <c r="C342" s="1" t="s">
        <v>20</v>
      </c>
      <c r="D342" s="1">
        <v>127</v>
      </c>
      <c r="E342" s="1">
        <v>135</v>
      </c>
      <c r="G342" s="1" t="s">
        <v>1514</v>
      </c>
      <c r="I342" s="1" t="s">
        <v>22</v>
      </c>
      <c r="J342" s="1" t="s">
        <v>1824</v>
      </c>
      <c r="K342" s="1">
        <v>9175</v>
      </c>
      <c r="L342" s="1">
        <v>9201</v>
      </c>
      <c r="M342" s="1" t="s">
        <v>1770</v>
      </c>
      <c r="N342" s="1" t="e">
        <v>#N/A</v>
      </c>
      <c r="O342" s="1" t="s">
        <v>1771</v>
      </c>
      <c r="P342" s="1" t="s">
        <v>1770</v>
      </c>
      <c r="Q342" s="1">
        <v>8381</v>
      </c>
      <c r="R342" s="1">
        <v>8407</v>
      </c>
      <c r="S342" s="1" t="s">
        <v>1513</v>
      </c>
      <c r="T342" s="1" t="s">
        <v>1517</v>
      </c>
      <c r="U342" s="1">
        <v>0</v>
      </c>
      <c r="V342" s="1">
        <v>1</v>
      </c>
      <c r="W342" s="1">
        <v>1</v>
      </c>
      <c r="X342" s="4" t="b">
        <v>0</v>
      </c>
    </row>
    <row r="343" spans="1:24" ht="17" customHeight="1" x14ac:dyDescent="0.2">
      <c r="A343" s="1" t="s">
        <v>1267</v>
      </c>
      <c r="B343" s="1" t="s">
        <v>1267</v>
      </c>
      <c r="C343" s="1" t="s">
        <v>20</v>
      </c>
      <c r="D343" s="1">
        <v>128</v>
      </c>
      <c r="E343" s="1">
        <v>137</v>
      </c>
      <c r="F343" s="1" t="s">
        <v>20</v>
      </c>
      <c r="G343" s="1" t="s">
        <v>1268</v>
      </c>
      <c r="H343" s="1" t="s">
        <v>31</v>
      </c>
      <c r="I343" s="1" t="s">
        <v>22</v>
      </c>
      <c r="J343" s="1" t="s">
        <v>1269</v>
      </c>
      <c r="K343" s="1">
        <v>9178</v>
      </c>
      <c r="L343" s="1">
        <v>9207</v>
      </c>
      <c r="M343" s="1" t="s">
        <v>1270</v>
      </c>
      <c r="N343" s="1" t="s">
        <v>1271</v>
      </c>
      <c r="O343" s="1" t="s">
        <v>1272</v>
      </c>
      <c r="P343" s="1" t="s">
        <v>1270</v>
      </c>
      <c r="Q343" s="1">
        <v>8384</v>
      </c>
      <c r="R343" s="1">
        <v>8413</v>
      </c>
      <c r="S343" s="1" t="s">
        <v>1273</v>
      </c>
      <c r="T343" s="1" t="s">
        <v>1267</v>
      </c>
      <c r="U343" s="1">
        <v>1</v>
      </c>
      <c r="V343" s="1">
        <v>0</v>
      </c>
      <c r="W343" s="1">
        <v>1</v>
      </c>
      <c r="X343" s="4" t="b">
        <v>1</v>
      </c>
    </row>
    <row r="344" spans="1:24" ht="17" customHeight="1" x14ac:dyDescent="0.2">
      <c r="A344" s="1" t="s">
        <v>1267</v>
      </c>
      <c r="B344" s="1" t="s">
        <v>1267</v>
      </c>
      <c r="C344" s="1" t="s">
        <v>20</v>
      </c>
      <c r="D344" s="1">
        <v>128</v>
      </c>
      <c r="E344" s="1">
        <v>137</v>
      </c>
      <c r="G344" s="1" t="s">
        <v>1268</v>
      </c>
      <c r="H344" s="1" t="s">
        <v>31</v>
      </c>
      <c r="I344" s="1" t="s">
        <v>22</v>
      </c>
      <c r="J344" s="1" t="s">
        <v>1083</v>
      </c>
      <c r="K344" s="1">
        <v>9178</v>
      </c>
      <c r="L344" s="1">
        <v>9207</v>
      </c>
      <c r="M344" s="1" t="s">
        <v>1755</v>
      </c>
      <c r="N344" s="1" t="e">
        <v>#N/A</v>
      </c>
      <c r="O344" s="1" t="s">
        <v>1756</v>
      </c>
      <c r="P344" s="1" t="s">
        <v>1757</v>
      </c>
      <c r="Q344" s="1">
        <v>8384</v>
      </c>
      <c r="R344" s="1">
        <v>8413</v>
      </c>
      <c r="S344" s="1" t="s">
        <v>1273</v>
      </c>
      <c r="T344" s="1" t="s">
        <v>1267</v>
      </c>
      <c r="U344" s="1">
        <v>1</v>
      </c>
      <c r="V344" s="1">
        <v>0</v>
      </c>
      <c r="W344" s="1">
        <v>1</v>
      </c>
      <c r="X344" s="4" t="b">
        <v>1</v>
      </c>
    </row>
    <row r="345" spans="1:24" ht="17" customHeight="1" x14ac:dyDescent="0.2">
      <c r="A345" s="1" t="s">
        <v>1297</v>
      </c>
      <c r="B345" s="1" t="s">
        <v>1297</v>
      </c>
      <c r="C345" s="1" t="s">
        <v>20</v>
      </c>
      <c r="D345" s="1">
        <v>133</v>
      </c>
      <c r="E345" s="1">
        <v>141</v>
      </c>
      <c r="F345" s="1" t="s">
        <v>20</v>
      </c>
      <c r="G345" s="1" t="s">
        <v>1165</v>
      </c>
      <c r="I345" s="1" t="s">
        <v>22</v>
      </c>
      <c r="J345" s="1" t="s">
        <v>1879</v>
      </c>
      <c r="K345" s="1">
        <v>9193</v>
      </c>
      <c r="L345" s="1">
        <v>9219</v>
      </c>
      <c r="M345" s="1" t="s">
        <v>1166</v>
      </c>
      <c r="N345" s="1" t="s">
        <v>1166</v>
      </c>
      <c r="O345" s="1" t="s">
        <v>1298</v>
      </c>
      <c r="P345" s="1" t="s">
        <v>1166</v>
      </c>
      <c r="Q345" s="1">
        <v>8399</v>
      </c>
      <c r="R345" s="1">
        <v>8425</v>
      </c>
      <c r="S345" s="1" t="s">
        <v>1167</v>
      </c>
      <c r="T345" s="1" t="s">
        <v>1168</v>
      </c>
      <c r="U345" s="1">
        <v>1</v>
      </c>
      <c r="V345" s="1">
        <v>1</v>
      </c>
      <c r="W345" s="1">
        <v>1</v>
      </c>
      <c r="X345" s="4" t="b">
        <v>0</v>
      </c>
    </row>
    <row r="346" spans="1:24" ht="17" customHeight="1" x14ac:dyDescent="0.2">
      <c r="A346" s="1" t="s">
        <v>1160</v>
      </c>
      <c r="B346" s="1" t="s">
        <v>1160</v>
      </c>
      <c r="C346" s="1" t="s">
        <v>20</v>
      </c>
      <c r="D346" s="1">
        <v>134</v>
      </c>
      <c r="E346" s="1">
        <v>141</v>
      </c>
      <c r="F346" s="1" t="s">
        <v>20</v>
      </c>
      <c r="G346" s="1" t="s">
        <v>1161</v>
      </c>
      <c r="H346" s="1" t="s">
        <v>31</v>
      </c>
      <c r="I346" s="1" t="s">
        <v>22</v>
      </c>
      <c r="J346" s="1" t="s">
        <v>775</v>
      </c>
      <c r="K346" s="1">
        <v>9196</v>
      </c>
      <c r="L346" s="1">
        <v>9219</v>
      </c>
      <c r="M346" s="1" t="s">
        <v>1162</v>
      </c>
      <c r="N346" s="1" t="s">
        <v>1163</v>
      </c>
      <c r="O346" s="1" t="s">
        <v>1164</v>
      </c>
      <c r="P346" s="1" t="s">
        <v>1162</v>
      </c>
      <c r="Q346" s="1">
        <v>8402</v>
      </c>
      <c r="R346" s="1">
        <v>8425</v>
      </c>
      <c r="S346" s="1" t="s">
        <v>1160</v>
      </c>
      <c r="T346" s="1" t="s">
        <v>1160</v>
      </c>
      <c r="U346" s="1">
        <v>0</v>
      </c>
      <c r="V346" s="1">
        <v>0</v>
      </c>
      <c r="W346" s="1">
        <v>0</v>
      </c>
      <c r="X346" s="4" t="b">
        <v>1</v>
      </c>
    </row>
    <row r="347" spans="1:24" ht="17" customHeight="1" x14ac:dyDescent="0.2">
      <c r="A347" s="1" t="s">
        <v>1692</v>
      </c>
      <c r="B347" s="1" t="s">
        <v>1692</v>
      </c>
      <c r="C347" s="1" t="s">
        <v>20</v>
      </c>
      <c r="D347" s="1">
        <v>134</v>
      </c>
      <c r="E347" s="1">
        <v>143</v>
      </c>
      <c r="F347" s="1" t="s">
        <v>20</v>
      </c>
      <c r="G347" s="1" t="s">
        <v>1693</v>
      </c>
      <c r="I347" s="1" t="s">
        <v>22</v>
      </c>
      <c r="J347" s="3" t="s">
        <v>1880</v>
      </c>
      <c r="K347" s="1">
        <v>9196</v>
      </c>
      <c r="L347" s="1">
        <v>9225</v>
      </c>
      <c r="M347" s="1" t="s">
        <v>1694</v>
      </c>
      <c r="N347" s="1" t="s">
        <v>1694</v>
      </c>
      <c r="O347" s="1" t="s">
        <v>1531</v>
      </c>
      <c r="P347" s="1" t="s">
        <v>1694</v>
      </c>
      <c r="Q347" s="1">
        <v>8402</v>
      </c>
      <c r="R347" s="1">
        <v>8431</v>
      </c>
      <c r="S347" s="1" t="s">
        <v>1695</v>
      </c>
      <c r="T347" s="1" t="s">
        <v>1692</v>
      </c>
      <c r="W347" s="1">
        <v>1</v>
      </c>
      <c r="X347" s="4" t="b">
        <v>1</v>
      </c>
    </row>
    <row r="348" spans="1:24" ht="17" customHeight="1" x14ac:dyDescent="0.2">
      <c r="A348" s="1" t="s">
        <v>1692</v>
      </c>
      <c r="B348" s="1" t="s">
        <v>1692</v>
      </c>
      <c r="C348" s="1" t="s">
        <v>20</v>
      </c>
      <c r="D348" s="1">
        <v>134</v>
      </c>
      <c r="E348" s="1">
        <v>143</v>
      </c>
      <c r="F348" s="1" t="s">
        <v>20</v>
      </c>
      <c r="G348" s="1" t="s">
        <v>1693</v>
      </c>
      <c r="I348" s="1" t="s">
        <v>22</v>
      </c>
      <c r="J348" s="3" t="s">
        <v>1881</v>
      </c>
      <c r="K348" s="1">
        <v>9196</v>
      </c>
      <c r="L348" s="1">
        <v>9225</v>
      </c>
      <c r="M348" s="3" t="s">
        <v>1750</v>
      </c>
      <c r="P348" s="3" t="s">
        <v>1750</v>
      </c>
      <c r="Q348" s="1">
        <v>8402</v>
      </c>
      <c r="R348" s="1">
        <v>8431</v>
      </c>
      <c r="S348" s="1" t="s">
        <v>1695</v>
      </c>
      <c r="T348" s="1" t="s">
        <v>1692</v>
      </c>
      <c r="X348" s="4"/>
    </row>
    <row r="349" spans="1:24" ht="17" customHeight="1" x14ac:dyDescent="0.2">
      <c r="A349" s="1" t="s">
        <v>1487</v>
      </c>
      <c r="B349" s="1" t="s">
        <v>1487</v>
      </c>
      <c r="C349" s="1" t="s">
        <v>20</v>
      </c>
      <c r="D349" s="1">
        <v>135</v>
      </c>
      <c r="E349" s="1">
        <v>143</v>
      </c>
      <c r="F349" s="1" t="s">
        <v>20</v>
      </c>
      <c r="G349" s="1" t="s">
        <v>1484</v>
      </c>
      <c r="H349" s="1" t="s">
        <v>31</v>
      </c>
      <c r="I349" s="1" t="s">
        <v>22</v>
      </c>
      <c r="J349" s="1" t="s">
        <v>1488</v>
      </c>
      <c r="K349" s="1">
        <v>9199</v>
      </c>
      <c r="L349" s="1">
        <v>9225</v>
      </c>
      <c r="M349" s="1" t="s">
        <v>1489</v>
      </c>
      <c r="N349" s="1" t="s">
        <v>1490</v>
      </c>
      <c r="O349" s="1" t="s">
        <v>1491</v>
      </c>
      <c r="P349" s="1" t="s">
        <v>1489</v>
      </c>
      <c r="Q349" s="1">
        <v>8405</v>
      </c>
      <c r="R349" s="1">
        <v>8431</v>
      </c>
      <c r="S349" s="1" t="s">
        <v>1483</v>
      </c>
      <c r="T349" s="1" t="s">
        <v>1487</v>
      </c>
      <c r="U349" s="1">
        <v>1</v>
      </c>
      <c r="V349" s="1">
        <v>0</v>
      </c>
      <c r="W349" s="1">
        <v>1</v>
      </c>
      <c r="X349" s="4" t="b">
        <v>1</v>
      </c>
    </row>
    <row r="350" spans="1:24" ht="17" customHeight="1" x14ac:dyDescent="0.2">
      <c r="A350" s="1" t="s">
        <v>1487</v>
      </c>
      <c r="B350" s="1" t="s">
        <v>1487</v>
      </c>
      <c r="C350" s="1" t="s">
        <v>20</v>
      </c>
      <c r="D350" s="1">
        <v>135</v>
      </c>
      <c r="E350" s="1">
        <v>143</v>
      </c>
      <c r="F350" s="1" t="s">
        <v>20</v>
      </c>
      <c r="G350" s="1" t="s">
        <v>1484</v>
      </c>
      <c r="I350" s="1" t="s">
        <v>22</v>
      </c>
      <c r="J350" s="1" t="s">
        <v>1901</v>
      </c>
      <c r="K350" s="1">
        <v>9199</v>
      </c>
      <c r="L350" s="1">
        <v>9225</v>
      </c>
      <c r="M350" s="1" t="s">
        <v>1575</v>
      </c>
      <c r="N350" s="1" t="s">
        <v>1575</v>
      </c>
      <c r="O350" s="1" t="s">
        <v>1531</v>
      </c>
      <c r="P350" s="1" t="s">
        <v>1575</v>
      </c>
      <c r="Q350" s="1">
        <v>8405</v>
      </c>
      <c r="R350" s="1">
        <v>8431</v>
      </c>
      <c r="S350" s="1" t="s">
        <v>1483</v>
      </c>
      <c r="T350" s="1" t="s">
        <v>1487</v>
      </c>
      <c r="W350" s="1">
        <v>1</v>
      </c>
      <c r="X350" s="4" t="b">
        <v>1</v>
      </c>
    </row>
    <row r="351" spans="1:24" ht="17" customHeight="1" x14ac:dyDescent="0.2">
      <c r="A351" s="1" t="s">
        <v>1483</v>
      </c>
      <c r="B351" s="1" t="s">
        <v>1483</v>
      </c>
      <c r="C351" s="1" t="s">
        <v>20</v>
      </c>
      <c r="D351" s="1">
        <v>135</v>
      </c>
      <c r="E351" s="1">
        <v>143</v>
      </c>
      <c r="F351" s="1" t="s">
        <v>20</v>
      </c>
      <c r="G351" s="1" t="s">
        <v>1484</v>
      </c>
      <c r="I351" s="1" t="s">
        <v>22</v>
      </c>
      <c r="J351" s="1" t="s">
        <v>1793</v>
      </c>
      <c r="K351" s="1">
        <v>9199</v>
      </c>
      <c r="L351" s="1">
        <v>9225</v>
      </c>
      <c r="M351" s="1" t="s">
        <v>1485</v>
      </c>
      <c r="N351" s="1" t="s">
        <v>1485</v>
      </c>
      <c r="O351" s="1" t="s">
        <v>1486</v>
      </c>
      <c r="P351" s="1" t="s">
        <v>1485</v>
      </c>
      <c r="Q351" s="1">
        <v>8405</v>
      </c>
      <c r="R351" s="1">
        <v>8431</v>
      </c>
      <c r="S351" s="1" t="s">
        <v>1483</v>
      </c>
      <c r="T351" s="1" t="s">
        <v>1487</v>
      </c>
      <c r="U351" s="1">
        <v>0</v>
      </c>
      <c r="V351" s="1">
        <v>1</v>
      </c>
      <c r="W351" s="1">
        <v>1</v>
      </c>
      <c r="X351" s="4" t="b">
        <v>0</v>
      </c>
    </row>
    <row r="352" spans="1:24" ht="17" customHeight="1" x14ac:dyDescent="0.2">
      <c r="A352" s="1" t="s">
        <v>917</v>
      </c>
      <c r="B352" s="1" t="s">
        <v>917</v>
      </c>
      <c r="C352" s="1" t="s">
        <v>20</v>
      </c>
      <c r="D352" s="1">
        <v>136</v>
      </c>
      <c r="E352" s="1">
        <v>145</v>
      </c>
      <c r="F352" s="1" t="s">
        <v>20</v>
      </c>
      <c r="G352" s="1" t="s">
        <v>918</v>
      </c>
      <c r="H352" s="1" t="s">
        <v>31</v>
      </c>
      <c r="I352" s="1" t="s">
        <v>22</v>
      </c>
      <c r="J352" s="1" t="s">
        <v>1204</v>
      </c>
      <c r="K352" s="1">
        <v>9202</v>
      </c>
      <c r="L352" s="1">
        <v>9231</v>
      </c>
      <c r="M352" s="1" t="s">
        <v>919</v>
      </c>
      <c r="N352" s="1" t="s">
        <v>920</v>
      </c>
      <c r="O352" s="1" t="s">
        <v>921</v>
      </c>
      <c r="P352" s="1" t="s">
        <v>919</v>
      </c>
      <c r="Q352" s="1">
        <v>8408</v>
      </c>
      <c r="R352" s="1">
        <v>8437</v>
      </c>
      <c r="S352" s="1" t="s">
        <v>922</v>
      </c>
      <c r="T352" s="1" t="s">
        <v>917</v>
      </c>
      <c r="U352" s="1">
        <v>1</v>
      </c>
      <c r="V352" s="1">
        <v>0</v>
      </c>
      <c r="W352" s="1">
        <v>1</v>
      </c>
      <c r="X352" s="4" t="b">
        <v>1</v>
      </c>
    </row>
    <row r="353" spans="1:24" ht="17" customHeight="1" x14ac:dyDescent="0.2">
      <c r="A353" s="1" t="s">
        <v>836</v>
      </c>
      <c r="B353" s="1" t="s">
        <v>836</v>
      </c>
      <c r="C353" s="1" t="s">
        <v>20</v>
      </c>
      <c r="D353" s="1">
        <v>137</v>
      </c>
      <c r="E353" s="1">
        <v>145</v>
      </c>
      <c r="F353" s="1" t="s">
        <v>20</v>
      </c>
      <c r="G353" s="1" t="s">
        <v>837</v>
      </c>
      <c r="I353" s="1" t="s">
        <v>22</v>
      </c>
      <c r="J353" s="1" t="s">
        <v>1878</v>
      </c>
      <c r="K353" s="1">
        <v>9205</v>
      </c>
      <c r="L353" s="1">
        <v>9231</v>
      </c>
      <c r="M353" s="1" t="s">
        <v>838</v>
      </c>
      <c r="N353" s="1" t="s">
        <v>838</v>
      </c>
      <c r="O353" s="1" t="s">
        <v>839</v>
      </c>
      <c r="P353" s="1" t="s">
        <v>838</v>
      </c>
      <c r="Q353" s="1">
        <v>8411</v>
      </c>
      <c r="R353" s="1">
        <v>8437</v>
      </c>
      <c r="S353" s="1" t="s">
        <v>836</v>
      </c>
      <c r="T353" s="1" t="s">
        <v>840</v>
      </c>
      <c r="U353" s="1">
        <v>0</v>
      </c>
      <c r="V353" s="1">
        <v>1</v>
      </c>
      <c r="W353" s="1">
        <v>1</v>
      </c>
      <c r="X353" s="4" t="b">
        <v>0</v>
      </c>
    </row>
    <row r="354" spans="1:24" ht="17" customHeight="1" x14ac:dyDescent="0.2">
      <c r="A354" s="1" t="s">
        <v>836</v>
      </c>
      <c r="B354" s="1" t="s">
        <v>836</v>
      </c>
      <c r="C354" s="1" t="s">
        <v>20</v>
      </c>
      <c r="D354" s="1">
        <v>137</v>
      </c>
      <c r="E354" s="1">
        <v>145</v>
      </c>
      <c r="G354" s="1" t="s">
        <v>837</v>
      </c>
      <c r="I354" s="1" t="s">
        <v>22</v>
      </c>
      <c r="J354" s="1" t="s">
        <v>1824</v>
      </c>
      <c r="K354" s="1">
        <v>9205</v>
      </c>
      <c r="L354" s="1">
        <v>9231</v>
      </c>
      <c r="M354" s="1" t="s">
        <v>1734</v>
      </c>
      <c r="N354" s="1" t="e">
        <v>#N/A</v>
      </c>
      <c r="O354" s="1" t="s">
        <v>1735</v>
      </c>
      <c r="P354" s="1" t="s">
        <v>1734</v>
      </c>
      <c r="Q354" s="1">
        <v>8411</v>
      </c>
      <c r="R354" s="1">
        <v>8437</v>
      </c>
      <c r="S354" s="1" t="s">
        <v>836</v>
      </c>
      <c r="T354" s="1" t="s">
        <v>840</v>
      </c>
      <c r="U354" s="1">
        <v>0</v>
      </c>
      <c r="V354" s="1">
        <v>1</v>
      </c>
      <c r="W354" s="1">
        <v>1</v>
      </c>
      <c r="X354" s="4" t="b">
        <v>0</v>
      </c>
    </row>
    <row r="355" spans="1:24" ht="17" customHeight="1" x14ac:dyDescent="0.2">
      <c r="A355" s="1" t="s">
        <v>1532</v>
      </c>
      <c r="B355" s="1" t="s">
        <v>1532</v>
      </c>
      <c r="C355" s="1" t="s">
        <v>20</v>
      </c>
      <c r="G355" s="1" t="s">
        <v>1533</v>
      </c>
      <c r="I355" s="1" t="s">
        <v>22</v>
      </c>
      <c r="J355" s="1" t="s">
        <v>1837</v>
      </c>
      <c r="K355" s="1">
        <v>9205</v>
      </c>
      <c r="L355" s="1">
        <v>9234</v>
      </c>
      <c r="M355" s="1" t="s">
        <v>1534</v>
      </c>
      <c r="N355" s="1" t="s">
        <v>1534</v>
      </c>
      <c r="O355" s="1" t="s">
        <v>1531</v>
      </c>
      <c r="P355" s="1" t="s">
        <v>1534</v>
      </c>
      <c r="Q355" s="1">
        <v>8411</v>
      </c>
      <c r="R355" s="1">
        <v>8440</v>
      </c>
      <c r="S355" s="1" t="s">
        <v>1535</v>
      </c>
      <c r="T355" s="1" t="s">
        <v>1532</v>
      </c>
      <c r="W355" s="1">
        <v>1</v>
      </c>
      <c r="X355" s="4" t="b">
        <v>1</v>
      </c>
    </row>
    <row r="356" spans="1:24" ht="17" customHeight="1" x14ac:dyDescent="0.2">
      <c r="A356" s="1" t="s">
        <v>1354</v>
      </c>
      <c r="B356" s="1" t="s">
        <v>1354</v>
      </c>
      <c r="C356" s="1" t="s">
        <v>20</v>
      </c>
      <c r="D356" s="1">
        <v>180</v>
      </c>
      <c r="E356" s="1">
        <v>189</v>
      </c>
      <c r="F356" s="1" t="s">
        <v>20</v>
      </c>
      <c r="G356" s="1" t="s">
        <v>1355</v>
      </c>
      <c r="H356" s="1" t="s">
        <v>31</v>
      </c>
      <c r="I356" s="1" t="s">
        <v>22</v>
      </c>
      <c r="J356" s="1" t="s">
        <v>94</v>
      </c>
      <c r="K356" s="1">
        <v>9334</v>
      </c>
      <c r="L356" s="1">
        <v>9363</v>
      </c>
      <c r="M356" s="1" t="s">
        <v>1356</v>
      </c>
      <c r="N356" s="1" t="s">
        <v>1357</v>
      </c>
      <c r="O356" s="1" t="s">
        <v>1358</v>
      </c>
      <c r="P356" s="1" t="s">
        <v>1356</v>
      </c>
      <c r="Q356" s="1">
        <v>8540</v>
      </c>
      <c r="R356" s="1">
        <v>8569</v>
      </c>
      <c r="S356" s="1" t="s">
        <v>1359</v>
      </c>
      <c r="T356" s="1" t="s">
        <v>1354</v>
      </c>
      <c r="U356" s="1">
        <v>2</v>
      </c>
      <c r="V356" s="1">
        <v>0</v>
      </c>
      <c r="W356" s="1">
        <v>2</v>
      </c>
      <c r="X356" s="4" t="b">
        <v>1</v>
      </c>
    </row>
    <row r="357" spans="1:24" ht="17" customHeight="1" x14ac:dyDescent="0.2">
      <c r="A357" s="1" t="s">
        <v>1452</v>
      </c>
      <c r="B357" s="1" t="s">
        <v>1453</v>
      </c>
      <c r="C357" s="1" t="s">
        <v>20</v>
      </c>
      <c r="D357" s="1">
        <v>183</v>
      </c>
      <c r="E357" s="1">
        <v>192</v>
      </c>
      <c r="F357" s="1" t="s">
        <v>1454</v>
      </c>
      <c r="G357" s="1" t="s">
        <v>1448</v>
      </c>
      <c r="I357" s="1" t="s">
        <v>22</v>
      </c>
      <c r="J357" s="1" t="s">
        <v>427</v>
      </c>
      <c r="K357" s="1">
        <v>9343</v>
      </c>
      <c r="L357" s="1">
        <v>9369</v>
      </c>
      <c r="M357" s="1" t="s">
        <v>1455</v>
      </c>
      <c r="N357" s="1" t="e">
        <v>#N/A</v>
      </c>
      <c r="O357" s="1" t="s">
        <v>1456</v>
      </c>
      <c r="P357" s="1" t="s">
        <v>1455</v>
      </c>
      <c r="Q357" s="1">
        <v>8549</v>
      </c>
      <c r="R357" s="1">
        <v>8575</v>
      </c>
      <c r="S357" s="1" t="s">
        <v>1451</v>
      </c>
      <c r="T357" s="1" t="s">
        <v>1447</v>
      </c>
      <c r="U357" s="1">
        <v>2</v>
      </c>
      <c r="V357" s="1">
        <v>1</v>
      </c>
      <c r="W357" s="1">
        <v>1</v>
      </c>
      <c r="X357" s="4" t="b">
        <v>0</v>
      </c>
    </row>
    <row r="358" spans="1:24" ht="17" customHeight="1" x14ac:dyDescent="0.2">
      <c r="A358" s="1" t="s">
        <v>1447</v>
      </c>
      <c r="B358" s="1" t="s">
        <v>1447</v>
      </c>
      <c r="C358" s="1" t="s">
        <v>20</v>
      </c>
      <c r="D358" s="1">
        <v>183</v>
      </c>
      <c r="E358" s="1">
        <v>191</v>
      </c>
      <c r="F358" s="1" t="s">
        <v>20</v>
      </c>
      <c r="G358" s="1" t="s">
        <v>1448</v>
      </c>
      <c r="I358" s="1" t="s">
        <v>22</v>
      </c>
      <c r="J358" s="1" t="s">
        <v>273</v>
      </c>
      <c r="K358" s="1">
        <v>9343</v>
      </c>
      <c r="L358" s="1">
        <v>9369</v>
      </c>
      <c r="M358" s="1" t="s">
        <v>1449</v>
      </c>
      <c r="N358" s="1" t="s">
        <v>1449</v>
      </c>
      <c r="O358" s="1" t="s">
        <v>1450</v>
      </c>
      <c r="P358" s="1" t="s">
        <v>1449</v>
      </c>
      <c r="Q358" s="1">
        <v>8549</v>
      </c>
      <c r="R358" s="1">
        <v>8575</v>
      </c>
      <c r="S358" s="1" t="s">
        <v>1451</v>
      </c>
      <c r="T358" s="1" t="s">
        <v>1447</v>
      </c>
      <c r="U358" s="1">
        <v>1</v>
      </c>
      <c r="V358" s="1">
        <v>0</v>
      </c>
      <c r="W358" s="1">
        <v>1</v>
      </c>
      <c r="X358" s="4" t="b">
        <v>1</v>
      </c>
    </row>
    <row r="359" spans="1:24" ht="17" customHeight="1" x14ac:dyDescent="0.2">
      <c r="A359" s="1" t="s">
        <v>1699</v>
      </c>
      <c r="B359" s="1" t="s">
        <v>1699</v>
      </c>
      <c r="C359" s="1" t="s">
        <v>20</v>
      </c>
      <c r="D359" s="1">
        <v>187</v>
      </c>
      <c r="E359" s="1">
        <v>195</v>
      </c>
      <c r="G359" s="1" t="s">
        <v>1697</v>
      </c>
      <c r="I359" s="1" t="s">
        <v>22</v>
      </c>
      <c r="J359" s="1" t="s">
        <v>1866</v>
      </c>
      <c r="K359" s="1">
        <v>9355</v>
      </c>
      <c r="L359" s="1">
        <v>9381</v>
      </c>
      <c r="M359" s="1" t="s">
        <v>1698</v>
      </c>
      <c r="N359" s="1" t="s">
        <v>1698</v>
      </c>
      <c r="O359" s="1" t="s">
        <v>1531</v>
      </c>
      <c r="P359" s="1" t="s">
        <v>1698</v>
      </c>
      <c r="Q359" s="1">
        <v>8561</v>
      </c>
      <c r="R359" s="1">
        <v>8587</v>
      </c>
      <c r="S359" s="1" t="s">
        <v>1699</v>
      </c>
      <c r="T359" s="1" t="s">
        <v>1696</v>
      </c>
      <c r="W359" s="1">
        <v>1</v>
      </c>
      <c r="X359" s="4" t="b">
        <v>1</v>
      </c>
    </row>
    <row r="360" spans="1:24" ht="17" customHeight="1" x14ac:dyDescent="0.2">
      <c r="A360" s="1" t="s">
        <v>1539</v>
      </c>
      <c r="B360" s="1" t="s">
        <v>1539</v>
      </c>
      <c r="C360" s="1" t="s">
        <v>20</v>
      </c>
      <c r="G360" s="1" t="s">
        <v>1540</v>
      </c>
      <c r="I360" s="1" t="s">
        <v>22</v>
      </c>
      <c r="J360" s="1" t="s">
        <v>1882</v>
      </c>
      <c r="K360" s="1">
        <v>9358</v>
      </c>
      <c r="L360" s="1">
        <v>9384</v>
      </c>
      <c r="M360" s="1" t="s">
        <v>1541</v>
      </c>
      <c r="N360" s="1" t="s">
        <v>1541</v>
      </c>
      <c r="O360" s="1" t="s">
        <v>1531</v>
      </c>
      <c r="P360" s="1" t="s">
        <v>1541</v>
      </c>
      <c r="Q360" s="1">
        <v>8564</v>
      </c>
      <c r="R360" s="1">
        <v>8590</v>
      </c>
      <c r="S360" s="1" t="s">
        <v>1542</v>
      </c>
      <c r="T360" s="1" t="s">
        <v>1539</v>
      </c>
      <c r="W360" s="1">
        <v>1</v>
      </c>
      <c r="X360" s="4" t="b">
        <v>1</v>
      </c>
    </row>
    <row r="366" spans="1:24" ht="17" customHeight="1" x14ac:dyDescent="0.2">
      <c r="B366" s="1" t="s">
        <v>1803</v>
      </c>
    </row>
  </sheetData>
  <sortState xmlns:xlrd2="http://schemas.microsoft.com/office/spreadsheetml/2017/richdata2" ref="A2:X360">
    <sortCondition ref="Q2:Q360"/>
    <sortCondition ref="L2:L360"/>
    <sortCondition ref="P2:P360"/>
  </sortState>
  <conditionalFormatting sqref="A121:I122 A254:I254 O259:O348 X259:X348 A2:J120 A123:J253 A255:J258 K2:X258">
    <cfRule type="expression" dxfId="17" priority="173">
      <formula>$X2="EDITED"</formula>
    </cfRule>
    <cfRule type="expression" dxfId="16" priority="174">
      <formula>$X2=0</formula>
    </cfRule>
  </conditionalFormatting>
  <conditionalFormatting sqref="I259:I348">
    <cfRule type="expression" dxfId="15" priority="234">
      <formula>$X259="EDITED"</formula>
    </cfRule>
    <cfRule type="expression" dxfId="14" priority="235">
      <formula>$X259=0</formula>
    </cfRule>
  </conditionalFormatting>
  <conditionalFormatting sqref="J121">
    <cfRule type="expression" dxfId="13" priority="159">
      <formula>$X121="EDITED"</formula>
    </cfRule>
    <cfRule type="expression" dxfId="12" priority="160">
      <formula>$X121=0</formula>
    </cfRule>
  </conditionalFormatting>
  <conditionalFormatting sqref="J260">
    <cfRule type="expression" dxfId="11" priority="147">
      <formula>$X260="EDITED"</formula>
    </cfRule>
    <cfRule type="expression" dxfId="10" priority="148">
      <formula>$X260=0</formula>
    </cfRule>
  </conditionalFormatting>
  <conditionalFormatting sqref="J288">
    <cfRule type="expression" dxfId="9" priority="149">
      <formula>$X288="EDITED"</formula>
    </cfRule>
    <cfRule type="expression" dxfId="8" priority="150">
      <formula>$X288=0</formula>
    </cfRule>
  </conditionalFormatting>
  <conditionalFormatting sqref="J303">
    <cfRule type="expression" dxfId="7" priority="139">
      <formula>$X303="EDITED"</formula>
    </cfRule>
    <cfRule type="expression" dxfId="6" priority="140">
      <formula>$X303=0</formula>
    </cfRule>
  </conditionalFormatting>
  <conditionalFormatting sqref="J308">
    <cfRule type="expression" dxfId="5" priority="135">
      <formula>$X308="EDITED"</formula>
    </cfRule>
    <cfRule type="expression" dxfId="4" priority="136">
      <formula>$X308=0</formula>
    </cfRule>
  </conditionalFormatting>
  <conditionalFormatting sqref="J352">
    <cfRule type="expression" dxfId="3" priority="143">
      <formula>$X352="EDITED"</formula>
    </cfRule>
    <cfRule type="expression" dxfId="2" priority="144">
      <formula>$X352=0</formula>
    </cfRule>
  </conditionalFormatting>
  <conditionalFormatting sqref="P144">
    <cfRule type="duplicateValues" dxfId="1" priority="209" stopIfTrue="1"/>
  </conditionalFormatting>
  <conditionalFormatting sqref="P262:P273 P2:P143 P145:P260 P275:P348">
    <cfRule type="duplicateValues" dxfId="0" priority="433" stopIfTrue="1"/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7101F-3E77-3F41-8800-DDDBD2321F25}">
  <dimension ref="A1:C359"/>
  <sheetViews>
    <sheetView topLeftCell="A362" workbookViewId="0">
      <selection activeCell="E83" sqref="E83"/>
    </sheetView>
  </sheetViews>
  <sheetFormatPr baseColWidth="10" defaultRowHeight="16" x14ac:dyDescent="0.2"/>
  <cols>
    <col min="1" max="1" width="16.1640625" customWidth="1"/>
  </cols>
  <sheetData>
    <row r="1" spans="1:3" x14ac:dyDescent="0.2">
      <c r="A1" t="str">
        <f>'All Epitope Lists'!$P2</f>
        <v>B4002_Gag_GI9</v>
      </c>
      <c r="B1">
        <f>'All Epitope Lists'!$K2</f>
        <v>820</v>
      </c>
      <c r="C1">
        <f>'All Epitope Lists'!$L2</f>
        <v>846</v>
      </c>
    </row>
    <row r="2" spans="1:3" x14ac:dyDescent="0.2">
      <c r="A2" t="str">
        <f>'All Epitope Lists'!$P3</f>
        <v>B40_Gag_DG11</v>
      </c>
      <c r="B2">
        <f>'All Epitope Lists'!$K3</f>
        <v>829</v>
      </c>
      <c r="C2">
        <f>'All Epitope Lists'!$L3</f>
        <v>861</v>
      </c>
    </row>
    <row r="3" spans="1:3" x14ac:dyDescent="0.2">
      <c r="A3" t="str">
        <f>'All Epitope Lists'!$P4</f>
        <v>A0301_Gag_KK9</v>
      </c>
      <c r="B3">
        <f>'All Epitope Lists'!$K4</f>
        <v>841</v>
      </c>
      <c r="C3">
        <f>'All Epitope Lists'!$L4</f>
        <v>867</v>
      </c>
    </row>
    <row r="4" spans="1:3" x14ac:dyDescent="0.2">
      <c r="A4" t="str">
        <f>'All Epitope Lists'!$P5</f>
        <v>B2705_Gag_IK9</v>
      </c>
      <c r="B4">
        <f>'All Epitope Lists'!$K5</f>
        <v>844</v>
      </c>
      <c r="C4">
        <f>'All Epitope Lists'!$L5</f>
        <v>870</v>
      </c>
    </row>
    <row r="5" spans="1:3" x14ac:dyDescent="0.2">
      <c r="A5" t="str">
        <f>'All Epitope Lists'!$P6</f>
        <v>A0301_Gag_RK9</v>
      </c>
      <c r="B5">
        <f>'All Epitope Lists'!$K6</f>
        <v>847</v>
      </c>
      <c r="C5">
        <f>'All Epitope Lists'!$L6</f>
        <v>873</v>
      </c>
    </row>
    <row r="6" spans="1:3" x14ac:dyDescent="0.2">
      <c r="A6" t="str">
        <f>'All Epitope Lists'!$P7</f>
        <v>A0301_Gag_RY10</v>
      </c>
      <c r="B6">
        <f>'All Epitope Lists'!$K7</f>
        <v>847</v>
      </c>
      <c r="C6">
        <f>'All Epitope Lists'!$L7</f>
        <v>876</v>
      </c>
    </row>
    <row r="7" spans="1:3" x14ac:dyDescent="0.2">
      <c r="A7" t="str">
        <f>'All Epitope Lists'!$P8</f>
        <v>B0702_Gag_RK9</v>
      </c>
      <c r="B7">
        <f>'All Epitope Lists'!$K8</f>
        <v>853</v>
      </c>
      <c r="C7">
        <f>'All Epitope Lists'!$L8</f>
        <v>879</v>
      </c>
    </row>
    <row r="8" spans="1:3" x14ac:dyDescent="0.2">
      <c r="A8" t="str">
        <f>'All Epitope Lists'!$P9</f>
        <v>B5101_Gag_RL10</v>
      </c>
      <c r="B8">
        <f>'All Epitope Lists'!$K9</f>
        <v>853</v>
      </c>
      <c r="C8">
        <f>'All Epitope Lists'!$L9</f>
        <v>882</v>
      </c>
    </row>
    <row r="9" spans="1:3" x14ac:dyDescent="0.2">
      <c r="A9" t="str">
        <f>'All Epitope Lists'!$P10</f>
        <v>B0801_Gag_GL8</v>
      </c>
      <c r="B9">
        <f>'All Epitope Lists'!$K10</f>
        <v>859</v>
      </c>
      <c r="C9">
        <f>'All Epitope Lists'!$L10</f>
        <v>882</v>
      </c>
    </row>
    <row r="10" spans="1:3" x14ac:dyDescent="0.2">
      <c r="A10" t="str">
        <f>'All Epitope Lists'!$P11</f>
        <v>B0801_Gag_GK9</v>
      </c>
      <c r="B10">
        <f>'All Epitope Lists'!$K11</f>
        <v>859</v>
      </c>
      <c r="C10">
        <f>'All Epitope Lists'!$L11</f>
        <v>885</v>
      </c>
    </row>
    <row r="11" spans="1:3" x14ac:dyDescent="0.2">
      <c r="A11" t="str">
        <f>'All Epitope Lists'!$P12</f>
        <v>A2402_Gag_KW9</v>
      </c>
      <c r="B11">
        <f>'All Epitope Lists'!$K12</f>
        <v>871</v>
      </c>
      <c r="C11">
        <f>'All Epitope Lists'!$L12</f>
        <v>897</v>
      </c>
    </row>
    <row r="12" spans="1:3" x14ac:dyDescent="0.2">
      <c r="A12" t="str">
        <f>'All Epitope Lists'!$P13</f>
        <v>Cw0804_Gag_HL9</v>
      </c>
      <c r="B12">
        <f>'All Epitope Lists'!$K13</f>
        <v>886</v>
      </c>
      <c r="C12">
        <f>'All Epitope Lists'!$L13</f>
        <v>912</v>
      </c>
    </row>
    <row r="13" spans="1:3" x14ac:dyDescent="0.2">
      <c r="A13" t="str">
        <f>'All Epitope Lists'!$P14</f>
        <v>A30_Gag_LF11</v>
      </c>
      <c r="B13">
        <f>'All Epitope Lists'!$K14</f>
        <v>889</v>
      </c>
      <c r="C13">
        <f>'All Epitope Lists'!$L14</f>
        <v>921</v>
      </c>
    </row>
    <row r="14" spans="1:3" x14ac:dyDescent="0.2">
      <c r="A14" t="str">
        <f>'All Epitope Lists'!$P15</f>
        <v>B3501_Gag_WF9</v>
      </c>
      <c r="B14">
        <f>'All Epitope Lists'!$K15</f>
        <v>895</v>
      </c>
      <c r="C14">
        <f>'All Epitope Lists'!$L15</f>
        <v>921</v>
      </c>
    </row>
    <row r="15" spans="1:3" x14ac:dyDescent="0.2">
      <c r="A15" t="str">
        <f>'All Epitope Lists'!$P16</f>
        <v>B40_Gag_LI10</v>
      </c>
      <c r="B15">
        <f>'All Epitope Lists'!$K16</f>
        <v>940</v>
      </c>
      <c r="C15">
        <f>'All Epitope Lists'!$L16</f>
        <v>969</v>
      </c>
    </row>
    <row r="16" spans="1:3" x14ac:dyDescent="0.2">
      <c r="A16" t="str">
        <f>'All Epitope Lists'!$P17</f>
        <v>A0101_Gag_GY9</v>
      </c>
      <c r="B16">
        <f>'All Epitope Lists'!$K17</f>
        <v>1000</v>
      </c>
      <c r="C16">
        <f>'All Epitope Lists'!$L17</f>
        <v>1026</v>
      </c>
    </row>
    <row r="17" spans="1:3" x14ac:dyDescent="0.2">
      <c r="A17" t="str">
        <f>'All Epitope Lists'!$P18</f>
        <v>B0801_Gag_EV9</v>
      </c>
      <c r="B17">
        <f>'All Epitope Lists'!$K18</f>
        <v>1009</v>
      </c>
      <c r="C17">
        <f>'All Epitope Lists'!$L18</f>
        <v>1035</v>
      </c>
    </row>
    <row r="18" spans="1:3" x14ac:dyDescent="0.2">
      <c r="A18" t="str">
        <f>'All Epitope Lists'!$P19</f>
        <v>A3002_Gag_RY11</v>
      </c>
      <c r="B18">
        <f>'All Epitope Lists'!$K19</f>
        <v>1015</v>
      </c>
      <c r="C18">
        <f>'All Epitope Lists'!$L19</f>
        <v>1047</v>
      </c>
    </row>
    <row r="19" spans="1:3" x14ac:dyDescent="0.2">
      <c r="A19" t="str">
        <f>'All Epitope Lists'!$P20</f>
        <v>B58_Gag_RY11</v>
      </c>
      <c r="B19">
        <f>'All Epitope Lists'!$K20</f>
        <v>1015</v>
      </c>
      <c r="C19">
        <f>'All Epitope Lists'!$L20</f>
        <v>1047</v>
      </c>
    </row>
    <row r="20" spans="1:3" x14ac:dyDescent="0.2">
      <c r="A20" t="str">
        <f>'All Epitope Lists'!$P21</f>
        <v>B63_Gag_RY11</v>
      </c>
      <c r="B20">
        <f>'All Epitope Lists'!$K21</f>
        <v>1015</v>
      </c>
      <c r="C20">
        <f>'All Epitope Lists'!$L21</f>
        <v>1047</v>
      </c>
    </row>
    <row r="21" spans="1:3" x14ac:dyDescent="0.2">
      <c r="A21" t="str">
        <f>'All Epitope Lists'!$P22</f>
        <v>A0201_Gag_SL9</v>
      </c>
      <c r="B21">
        <f>'All Epitope Lists'!$K22</f>
        <v>1018</v>
      </c>
      <c r="C21">
        <f>'All Epitope Lists'!$L22</f>
        <v>1044</v>
      </c>
    </row>
    <row r="22" spans="1:3" x14ac:dyDescent="0.2">
      <c r="A22" t="str">
        <f>'All Epitope Lists'!$P23</f>
        <v>A0201_Gag_SY10</v>
      </c>
      <c r="B22">
        <f>'All Epitope Lists'!$K23</f>
        <v>1018</v>
      </c>
      <c r="C22">
        <f>'All Epitope Lists'!$L23</f>
        <v>1047</v>
      </c>
    </row>
    <row r="23" spans="1:3" x14ac:dyDescent="0.2">
      <c r="A23" t="str">
        <f>'All Epitope Lists'!$P24</f>
        <v>Cw14_Gag_LL8</v>
      </c>
      <c r="B23">
        <f>'All Epitope Lists'!$K24</f>
        <v>1021</v>
      </c>
      <c r="C23">
        <f>'All Epitope Lists'!$L24</f>
        <v>1044</v>
      </c>
    </row>
    <row r="24" spans="1:3" x14ac:dyDescent="0.2">
      <c r="A24" t="str">
        <f>'All Epitope Lists'!$P25</f>
        <v>A2902_Gag_LY9</v>
      </c>
      <c r="B24">
        <f>'All Epitope Lists'!$K25</f>
        <v>1021</v>
      </c>
      <c r="C24">
        <f>'All Epitope Lists'!$L25</f>
        <v>1047</v>
      </c>
    </row>
    <row r="25" spans="1:3" x14ac:dyDescent="0.2">
      <c r="A25" t="str">
        <f>'All Epitope Lists'!$P26</f>
        <v>B4403_Gag_LY9</v>
      </c>
      <c r="B25">
        <f>'All Epitope Lists'!$K26</f>
        <v>1021</v>
      </c>
      <c r="C25">
        <f>'All Epitope Lists'!$L26</f>
        <v>1047</v>
      </c>
    </row>
    <row r="26" spans="1:3" x14ac:dyDescent="0.2">
      <c r="A26" t="str">
        <f>'All Epitope Lists'!$P27</f>
        <v>A1101_Gag_TK8</v>
      </c>
      <c r="B26">
        <f>'All Epitope Lists'!$K27</f>
        <v>1039</v>
      </c>
      <c r="C26">
        <f>'All Epitope Lists'!$L27</f>
        <v>1062</v>
      </c>
    </row>
    <row r="27" spans="1:3" x14ac:dyDescent="0.2">
      <c r="A27" t="str">
        <f>'All Epitope Lists'!$P28</f>
        <v>B4001_Gag_IL10</v>
      </c>
      <c r="B27">
        <f>'All Epitope Lists'!$K28</f>
        <v>1063</v>
      </c>
      <c r="C27">
        <f>'All Epitope Lists'!$L28</f>
        <v>1092</v>
      </c>
    </row>
    <row r="28" spans="1:3" x14ac:dyDescent="0.2">
      <c r="A28" t="str">
        <f>'All Epitope Lists'!$P29</f>
        <v>B3501_Gag_NY9</v>
      </c>
      <c r="B28">
        <f>'All Epitope Lists'!$K29</f>
        <v>1159</v>
      </c>
      <c r="C28">
        <f>'All Epitope Lists'!$L29</f>
        <v>1185</v>
      </c>
    </row>
    <row r="29" spans="1:3" x14ac:dyDescent="0.2">
      <c r="A29" t="str">
        <f>'All Epitope Lists'!$P30</f>
        <v>B13_Gag_VV9</v>
      </c>
      <c r="B29">
        <f>'All Epitope Lists'!$K30</f>
        <v>1192</v>
      </c>
      <c r="C29">
        <f>'All Epitope Lists'!$L30</f>
        <v>1218</v>
      </c>
    </row>
    <row r="30" spans="1:3" x14ac:dyDescent="0.2">
      <c r="A30" t="str">
        <f>'All Epitope Lists'!$P31</f>
        <v>B1302_Gag_GI8</v>
      </c>
      <c r="B30">
        <f>'All Epitope Lists'!$K31</f>
        <v>1207</v>
      </c>
      <c r="C30">
        <f>'All Epitope Lists'!$L31</f>
        <v>1230</v>
      </c>
    </row>
    <row r="31" spans="1:3" x14ac:dyDescent="0.2">
      <c r="A31" t="str">
        <f>'All Epitope Lists'!$P32</f>
        <v>B1510_Gag_HL9</v>
      </c>
      <c r="B31">
        <f>'All Epitope Lists'!$K32</f>
        <v>1219</v>
      </c>
      <c r="C31">
        <f>'All Epitope Lists'!$L32</f>
        <v>1245</v>
      </c>
    </row>
    <row r="32" spans="1:3" x14ac:dyDescent="0.2">
      <c r="A32" t="str">
        <f>'All Epitope Lists'!$P33</f>
        <v>A2501_Gag_QW11</v>
      </c>
      <c r="B32">
        <f>'All Epitope Lists'!$K33</f>
        <v>1222</v>
      </c>
      <c r="C32">
        <f>'All Epitope Lists'!$L33</f>
        <v>1254</v>
      </c>
    </row>
    <row r="33" spans="1:3" x14ac:dyDescent="0.2">
      <c r="A33" t="str">
        <f>'All Epitope Lists'!$P34</f>
        <v>B5701_Gag_IW9</v>
      </c>
      <c r="B33">
        <f>'All Epitope Lists'!$K34</f>
        <v>1228</v>
      </c>
      <c r="C33">
        <f>'All Epitope Lists'!$L34</f>
        <v>1254</v>
      </c>
    </row>
    <row r="34" spans="1:3" x14ac:dyDescent="0.2">
      <c r="A34" t="str">
        <f>'All Epitope Lists'!$P35</f>
        <v>B63_Gag_IW9</v>
      </c>
      <c r="B34">
        <f>'All Epitope Lists'!$K35</f>
        <v>1228</v>
      </c>
      <c r="C34">
        <f>'All Epitope Lists'!$L35</f>
        <v>1254</v>
      </c>
    </row>
    <row r="35" spans="1:3" x14ac:dyDescent="0.2">
      <c r="A35" t="str">
        <f>'All Epitope Lists'!$P36</f>
        <v>B0702_Gag_SV9</v>
      </c>
      <c r="B35">
        <f>'All Epitope Lists'!$K36</f>
        <v>1231</v>
      </c>
      <c r="C35">
        <f>'All Epitope Lists'!$L36</f>
        <v>1257</v>
      </c>
    </row>
    <row r="36" spans="1:3" x14ac:dyDescent="0.2">
      <c r="A36" t="str">
        <f>'All Epitope Lists'!$P37</f>
        <v>B1503_Gag_VF9</v>
      </c>
      <c r="B36">
        <f>'All Epitope Lists'!$K37</f>
        <v>1255</v>
      </c>
      <c r="C36">
        <f>'All Epitope Lists'!$L37</f>
        <v>1281</v>
      </c>
    </row>
    <row r="37" spans="1:3" x14ac:dyDescent="0.2">
      <c r="A37" t="str">
        <f>'All Epitope Lists'!$P38</f>
        <v>B4415_Gag_EV9</v>
      </c>
      <c r="B37">
        <f>'All Epitope Lists'!$K38</f>
        <v>1267</v>
      </c>
      <c r="C37">
        <f>'All Epitope Lists'!$L38</f>
        <v>1293</v>
      </c>
    </row>
    <row r="38" spans="1:3" x14ac:dyDescent="0.2">
      <c r="A38" t="str">
        <f>'All Epitope Lists'!$P39</f>
        <v>B5703_Gag_KI8</v>
      </c>
      <c r="B38">
        <f>'All Epitope Lists'!$K39</f>
        <v>1273</v>
      </c>
      <c r="C38">
        <f>'All Epitope Lists'!$L39</f>
        <v>1296</v>
      </c>
    </row>
    <row r="39" spans="1:3" x14ac:dyDescent="0.2">
      <c r="A39" t="str">
        <f>'All Epitope Lists'!$P40</f>
        <v>B5701_Gag_KF11</v>
      </c>
      <c r="B39">
        <f>'All Epitope Lists'!$K40</f>
        <v>1273</v>
      </c>
      <c r="C39">
        <f>'All Epitope Lists'!$L40</f>
        <v>1305</v>
      </c>
    </row>
    <row r="40" spans="1:3" x14ac:dyDescent="0.2">
      <c r="A40" t="str">
        <f>'All Epitope Lists'!$P41</f>
        <v>B63_Gag_KF11</v>
      </c>
      <c r="B40">
        <f>'All Epitope Lists'!$K41</f>
        <v>1273</v>
      </c>
      <c r="C40">
        <f>'All Epitope Lists'!$L41</f>
        <v>1305</v>
      </c>
    </row>
    <row r="41" spans="1:3" x14ac:dyDescent="0.2">
      <c r="A41" t="str">
        <f>'All Epitope Lists'!$P42</f>
        <v>B57_Gag_FF9</v>
      </c>
      <c r="B41">
        <f>'All Epitope Lists'!$K42</f>
        <v>1279</v>
      </c>
      <c r="C41">
        <f>'All Epitope Lists'!$L42</f>
        <v>1305</v>
      </c>
    </row>
    <row r="42" spans="1:3" x14ac:dyDescent="0.2">
      <c r="A42" t="str">
        <f>'All Epitope Lists'!$P43</f>
        <v>A2601_Gag_EL9</v>
      </c>
      <c r="B42">
        <f>'All Epitope Lists'!$K43</f>
        <v>1288</v>
      </c>
      <c r="C42">
        <f>'All Epitope Lists'!$L43</f>
        <v>1314</v>
      </c>
    </row>
    <row r="43" spans="1:3" x14ac:dyDescent="0.2">
      <c r="A43" t="str">
        <f>'All Epitope Lists'!$P44</f>
        <v>Cw0102_Gag_VL8</v>
      </c>
      <c r="B43">
        <f>'All Epitope Lists'!$K44</f>
        <v>1291</v>
      </c>
      <c r="C43">
        <f>'All Epitope Lists'!$L44</f>
        <v>1314</v>
      </c>
    </row>
    <row r="44" spans="1:3" x14ac:dyDescent="0.2">
      <c r="A44" t="str">
        <f>'All Epitope Lists'!$P45</f>
        <v>B4001_Gag_SL9</v>
      </c>
      <c r="B44">
        <f>'All Epitope Lists'!$K45</f>
        <v>1315</v>
      </c>
      <c r="C44">
        <f>'All Epitope Lists'!$L45</f>
        <v>1341</v>
      </c>
    </row>
    <row r="45" spans="1:3" x14ac:dyDescent="0.2">
      <c r="A45" t="str">
        <f>'All Epitope Lists'!$P46</f>
        <v>B0702_Gag_TL9</v>
      </c>
      <c r="B45">
        <f>'All Epitope Lists'!$K46</f>
        <v>1327</v>
      </c>
      <c r="C45">
        <f>'All Epitope Lists'!$L46</f>
        <v>1353</v>
      </c>
    </row>
    <row r="46" spans="1:3" x14ac:dyDescent="0.2">
      <c r="A46" t="str">
        <f>'All Epitope Lists'!$P47</f>
        <v>B3910_Gag_TL9</v>
      </c>
      <c r="B46">
        <f>'All Epitope Lists'!$K47</f>
        <v>1327</v>
      </c>
      <c r="C46">
        <f>'All Epitope Lists'!$L47</f>
        <v>1353</v>
      </c>
    </row>
    <row r="47" spans="1:3" x14ac:dyDescent="0.2">
      <c r="A47" t="str">
        <f>'All Epitope Lists'!$P48</f>
        <v>B4201_Gag_TL9</v>
      </c>
      <c r="B47">
        <f>'All Epitope Lists'!$K48</f>
        <v>1327</v>
      </c>
      <c r="C47">
        <f>'All Epitope Lists'!$L48</f>
        <v>1353</v>
      </c>
    </row>
    <row r="48" spans="1:3" x14ac:dyDescent="0.2">
      <c r="A48" t="str">
        <f>'All Epitope Lists'!$P49</f>
        <v>B53_Gag_TL9</v>
      </c>
      <c r="B48">
        <f>'All Epitope Lists'!$K49</f>
        <v>1327</v>
      </c>
      <c r="C48">
        <f>'All Epitope Lists'!$L49</f>
        <v>1353</v>
      </c>
    </row>
    <row r="49" spans="1:3" x14ac:dyDescent="0.2">
      <c r="A49" t="str">
        <f>'All Epitope Lists'!$P50</f>
        <v>B8101_Gag_TL9</v>
      </c>
      <c r="B49">
        <f>'All Epitope Lists'!$K50</f>
        <v>1327</v>
      </c>
      <c r="C49">
        <f>'All Epitope Lists'!$L50</f>
        <v>1353</v>
      </c>
    </row>
    <row r="50" spans="1:3" x14ac:dyDescent="0.2">
      <c r="A50" t="str">
        <f>'All Epitope Lists'!$P51</f>
        <v>Cw0802_Gag_TL9</v>
      </c>
      <c r="B50">
        <f>'All Epitope Lists'!$K51</f>
        <v>1327</v>
      </c>
      <c r="C50">
        <f>'All Epitope Lists'!$L51</f>
        <v>1353</v>
      </c>
    </row>
    <row r="51" spans="1:3" x14ac:dyDescent="0.2">
      <c r="A51" t="str">
        <f>'All Epitope Lists'!$P52</f>
        <v>B1510_Gag_GL9</v>
      </c>
      <c r="B51">
        <f>'All Epitope Lists'!$K52</f>
        <v>1366</v>
      </c>
      <c r="C51">
        <f>'All Epitope Lists'!$L52</f>
        <v>1392</v>
      </c>
    </row>
    <row r="52" spans="1:3" x14ac:dyDescent="0.2">
      <c r="A52" t="str">
        <f>'All Epitope Lists'!$P53</f>
        <v>B3901_Gag_GL9</v>
      </c>
      <c r="B52">
        <f>'All Epitope Lists'!$K53</f>
        <v>1366</v>
      </c>
      <c r="C52">
        <f>'All Epitope Lists'!$L53</f>
        <v>1392</v>
      </c>
    </row>
    <row r="53" spans="1:3" x14ac:dyDescent="0.2">
      <c r="A53" t="str">
        <f>'All Epitope Lists'!$P54</f>
        <v>B4002_Gag_KA9</v>
      </c>
      <c r="B53">
        <f>'All Epitope Lists'!$K54</f>
        <v>1393</v>
      </c>
      <c r="C53">
        <f>'All Epitope Lists'!$L54</f>
        <v>1419</v>
      </c>
    </row>
    <row r="54" spans="1:3" x14ac:dyDescent="0.2">
      <c r="A54" t="str">
        <f>'All Epitope Lists'!$P55</f>
        <v>A2501_Gag_EW10</v>
      </c>
      <c r="B54">
        <f>'All Epitope Lists'!$K55</f>
        <v>1396</v>
      </c>
      <c r="C54">
        <f>'All Epitope Lists'!$L55</f>
        <v>1425</v>
      </c>
    </row>
    <row r="55" spans="1:3" x14ac:dyDescent="0.2">
      <c r="A55" t="str">
        <f>'All Epitope Lists'!$P56</f>
        <v>B4002_Gag_AV9</v>
      </c>
      <c r="B55">
        <f>'All Epitope Lists'!$K56</f>
        <v>1417</v>
      </c>
      <c r="C55">
        <f>'All Epitope Lists'!$L56</f>
        <v>1443</v>
      </c>
    </row>
    <row r="56" spans="1:3" x14ac:dyDescent="0.2">
      <c r="A56" t="str">
        <f>'All Epitope Lists'!$P57</f>
        <v>B07_Gag_HA9</v>
      </c>
      <c r="B56">
        <f>'All Epitope Lists'!$K57</f>
        <v>1435</v>
      </c>
      <c r="C56">
        <f>'All Epitope Lists'!$L57</f>
        <v>1461</v>
      </c>
    </row>
    <row r="57" spans="1:3" x14ac:dyDescent="0.2">
      <c r="A57" t="str">
        <f>'All Epitope Lists'!$P58</f>
        <v>B3501_Gag_HA9</v>
      </c>
      <c r="B57">
        <f>'All Epitope Lists'!$K58</f>
        <v>1435</v>
      </c>
      <c r="C57">
        <f>'All Epitope Lists'!$L58</f>
        <v>1461</v>
      </c>
    </row>
    <row r="58" spans="1:3" x14ac:dyDescent="0.2">
      <c r="A58" t="str">
        <f>'All Epitope Lists'!$P59</f>
        <v>B13_Gag_GI11</v>
      </c>
      <c r="B58">
        <f>'All Epitope Lists'!$K59</f>
        <v>1465</v>
      </c>
      <c r="C58">
        <f>'All Epitope Lists'!$L59</f>
        <v>1497</v>
      </c>
    </row>
    <row r="59" spans="1:3" x14ac:dyDescent="0.2">
      <c r="A59" t="str">
        <f>'All Epitope Lists'!$P60</f>
        <v>B5701_Gag_TW10</v>
      </c>
      <c r="B59">
        <f>'All Epitope Lists'!$K60</f>
        <v>1507</v>
      </c>
      <c r="C59">
        <f>'All Epitope Lists'!$L60</f>
        <v>1536</v>
      </c>
    </row>
    <row r="60" spans="1:3" x14ac:dyDescent="0.2">
      <c r="A60" t="str">
        <f>'All Epitope Lists'!$P61</f>
        <v>B5801_Gag_TW10</v>
      </c>
      <c r="B60">
        <f>'All Epitope Lists'!$K61</f>
        <v>1507</v>
      </c>
      <c r="C60">
        <f>'All Epitope Lists'!$L61</f>
        <v>1536</v>
      </c>
    </row>
    <row r="61" spans="1:3" x14ac:dyDescent="0.2">
      <c r="A61" t="str">
        <f>'All Epitope Lists'!$P62</f>
        <v>B3501_Gag_NY10</v>
      </c>
      <c r="B61">
        <f>'All Epitope Lists'!$K62</f>
        <v>1546</v>
      </c>
      <c r="C61">
        <f>'All Epitope Lists'!$L62</f>
        <v>1575</v>
      </c>
    </row>
    <row r="62" spans="1:3" x14ac:dyDescent="0.2">
      <c r="A62" t="str">
        <f>'All Epitope Lists'!$P63</f>
        <v>B3501_Gag_PY9</v>
      </c>
      <c r="B62">
        <f>'All Epitope Lists'!$K63</f>
        <v>1549</v>
      </c>
      <c r="C62">
        <f>'All Epitope Lists'!$L63</f>
        <v>1575</v>
      </c>
    </row>
    <row r="63" spans="1:3" x14ac:dyDescent="0.2">
      <c r="A63" t="str">
        <f>'All Epitope Lists'!$P64</f>
        <v>B0801_Gag_EI8</v>
      </c>
      <c r="B63">
        <f>'All Epitope Lists'!$K64</f>
        <v>1567</v>
      </c>
      <c r="C63">
        <f>'All Epitope Lists'!$L64</f>
        <v>1590</v>
      </c>
    </row>
    <row r="64" spans="1:3" x14ac:dyDescent="0.2">
      <c r="A64" t="str">
        <f>'All Epitope Lists'!$P65</f>
        <v>B2703_Gag_RK10</v>
      </c>
      <c r="B64">
        <f>'All Epitope Lists'!$K65</f>
        <v>1576</v>
      </c>
      <c r="C64">
        <f>'All Epitope Lists'!$L65</f>
        <v>1605</v>
      </c>
    </row>
    <row r="65" spans="1:3" x14ac:dyDescent="0.2">
      <c r="A65" t="str">
        <f>'All Epitope Lists'!$P66</f>
        <v>B2705_Gag_KK10</v>
      </c>
      <c r="B65">
        <f>'All Epitope Lists'!$K66</f>
        <v>1576</v>
      </c>
      <c r="C65">
        <f>'All Epitope Lists'!$L66</f>
        <v>1605</v>
      </c>
    </row>
    <row r="66" spans="1:3" x14ac:dyDescent="0.2">
      <c r="A66" t="str">
        <f>'All Epitope Lists'!$P67</f>
        <v>B1501_Gag_GY9</v>
      </c>
      <c r="B66">
        <f>'All Epitope Lists'!$K67</f>
        <v>1594</v>
      </c>
      <c r="C66">
        <f>'All Epitope Lists'!$L67</f>
        <v>1620</v>
      </c>
    </row>
    <row r="67" spans="1:3" x14ac:dyDescent="0.2">
      <c r="A67" t="str">
        <f>'All Epitope Lists'!$P68</f>
        <v>B62_Gag_GY9</v>
      </c>
      <c r="B67">
        <f>'All Epitope Lists'!$K68</f>
        <v>1594</v>
      </c>
      <c r="C67">
        <f>'All Epitope Lists'!$L68</f>
        <v>1620</v>
      </c>
    </row>
    <row r="68" spans="1:3" x14ac:dyDescent="0.2">
      <c r="A68" t="str">
        <f>'All Epitope Lists'!$P69</f>
        <v>B14_Gag_VI9</v>
      </c>
      <c r="B68">
        <f>'All Epitope Lists'!$K69</f>
        <v>1609</v>
      </c>
      <c r="C68">
        <f>'All Epitope Lists'!$L69</f>
        <v>1635</v>
      </c>
    </row>
    <row r="69" spans="1:3" x14ac:dyDescent="0.2">
      <c r="A69" t="str">
        <f>'All Epitope Lists'!$P70</f>
        <v>Cw18_Gag_VI9</v>
      </c>
      <c r="B69">
        <f>'All Epitope Lists'!$K70</f>
        <v>1609</v>
      </c>
      <c r="C69">
        <f>'All Epitope Lists'!$L70</f>
        <v>1635</v>
      </c>
    </row>
    <row r="70" spans="1:3" x14ac:dyDescent="0.2">
      <c r="A70" t="str">
        <f>'All Epitope Lists'!$P71</f>
        <v>B5201_Gag_RI8</v>
      </c>
      <c r="B70">
        <f>'All Epitope Lists'!$K71</f>
        <v>1612</v>
      </c>
      <c r="C70">
        <f>'All Epitope Lists'!$L71</f>
        <v>1635</v>
      </c>
    </row>
    <row r="71" spans="1:3" x14ac:dyDescent="0.2">
      <c r="A71" t="str">
        <f>'All Epitope Lists'!$P72</f>
        <v>Cw0102_Gag_YI9</v>
      </c>
      <c r="B71">
        <f>'All Epitope Lists'!$K72</f>
        <v>1618</v>
      </c>
      <c r="C71">
        <f>'All Epitope Lists'!$L72</f>
        <v>1644</v>
      </c>
    </row>
    <row r="72" spans="1:3" x14ac:dyDescent="0.2">
      <c r="A72" t="str">
        <f>'All Epitope Lists'!$P73</f>
        <v>Cw18_Gag_FF9</v>
      </c>
      <c r="B72">
        <f>'All Epitope Lists'!$K73</f>
        <v>1666</v>
      </c>
      <c r="C72">
        <f>'All Epitope Lists'!$L73</f>
        <v>1692</v>
      </c>
    </row>
    <row r="73" spans="1:3" x14ac:dyDescent="0.2">
      <c r="A73" t="str">
        <f>'All Epitope Lists'!$P74</f>
        <v>B1801_Gag_FK10</v>
      </c>
      <c r="B73">
        <f>'All Epitope Lists'!$K74</f>
        <v>1666</v>
      </c>
      <c r="C73">
        <f>'All Epitope Lists'!$L74</f>
        <v>1695</v>
      </c>
    </row>
    <row r="74" spans="1:3" x14ac:dyDescent="0.2">
      <c r="A74" t="str">
        <f>'All Epitope Lists'!$P75</f>
        <v>B4402_Gag_RL11</v>
      </c>
      <c r="B74">
        <f>'All Epitope Lists'!$K75</f>
        <v>1669</v>
      </c>
      <c r="C74">
        <f>'All Epitope Lists'!$L75</f>
        <v>1701</v>
      </c>
    </row>
    <row r="75" spans="1:3" x14ac:dyDescent="0.2">
      <c r="A75" t="str">
        <f>'All Epitope Lists'!$P76</f>
        <v>A2402_Gag_RFL11</v>
      </c>
      <c r="B75">
        <f>'All Epitope Lists'!$K76</f>
        <v>1669</v>
      </c>
      <c r="C75">
        <f>'All Epitope Lists'!$L76</f>
        <v>1701</v>
      </c>
    </row>
    <row r="76" spans="1:3" x14ac:dyDescent="0.2">
      <c r="A76" t="str">
        <f>'All Epitope Lists'!$P77</f>
        <v>A0207_Gag_YL9</v>
      </c>
      <c r="B76">
        <f>'All Epitope Lists'!$K77</f>
        <v>1675</v>
      </c>
      <c r="C76">
        <f>'All Epitope Lists'!$L77</f>
        <v>1701</v>
      </c>
    </row>
    <row r="77" spans="1:3" x14ac:dyDescent="0.2">
      <c r="A77" t="str">
        <f>'All Epitope Lists'!$P78</f>
        <v>B1503_Gag_YL9</v>
      </c>
      <c r="B77">
        <f>'All Epitope Lists'!$K78</f>
        <v>1675</v>
      </c>
      <c r="C77">
        <f>'All Epitope Lists'!$L78</f>
        <v>1701</v>
      </c>
    </row>
    <row r="78" spans="1:3" x14ac:dyDescent="0.2">
      <c r="A78" t="str">
        <f>'All Epitope Lists'!$P79</f>
        <v>Cw0303_Gag_YL9</v>
      </c>
      <c r="B78">
        <f>'All Epitope Lists'!$K79</f>
        <v>1675</v>
      </c>
      <c r="C78">
        <f>'All Epitope Lists'!$L79</f>
        <v>1701</v>
      </c>
    </row>
    <row r="79" spans="1:3" x14ac:dyDescent="0.2">
      <c r="A79" t="str">
        <f>'All Epitope Lists'!$P80</f>
        <v>B1402_Gag_DA9</v>
      </c>
      <c r="B79">
        <f>'All Epitope Lists'!$K80</f>
        <v>1681</v>
      </c>
      <c r="C79">
        <f>'All Epitope Lists'!$L80</f>
        <v>1707</v>
      </c>
    </row>
    <row r="80" spans="1:3" x14ac:dyDescent="0.2">
      <c r="A80" t="str">
        <f>'All Epitope Lists'!$P81</f>
        <v>B4402_Gag_AW11</v>
      </c>
      <c r="B80">
        <f>'All Epitope Lists'!$K81</f>
        <v>1705</v>
      </c>
      <c r="C80">
        <f>'All Epitope Lists'!$L81</f>
        <v>1737</v>
      </c>
    </row>
    <row r="81" spans="1:3" x14ac:dyDescent="0.2">
      <c r="A81" t="str">
        <f>'All Epitope Lists'!$P82</f>
        <v>Cw5_Gag_AM12</v>
      </c>
      <c r="B81">
        <f>'All Epitope Lists'!$K82</f>
        <v>1705</v>
      </c>
      <c r="C81">
        <f>'All Epitope Lists'!$L82</f>
        <v>1740</v>
      </c>
    </row>
    <row r="82" spans="1:3" x14ac:dyDescent="0.2">
      <c r="A82" t="str">
        <f>'All Epitope Lists'!$P83</f>
        <v>B5301_Gag_QW9</v>
      </c>
      <c r="B82">
        <f>'All Epitope Lists'!$K83</f>
        <v>1711</v>
      </c>
      <c r="C82">
        <f>'All Epitope Lists'!$L83</f>
        <v>1737</v>
      </c>
    </row>
    <row r="83" spans="1:3" x14ac:dyDescent="0.2">
      <c r="A83" t="str">
        <f>'All Epitope Lists'!$P84</f>
        <v>B5701_Gag_QW9</v>
      </c>
      <c r="B83">
        <f>'All Epitope Lists'!$K84</f>
        <v>1711</v>
      </c>
      <c r="C83">
        <f>'All Epitope Lists'!$L84</f>
        <v>1737</v>
      </c>
    </row>
    <row r="84" spans="1:3" x14ac:dyDescent="0.2">
      <c r="A84" t="str">
        <f>'All Epitope Lists'!$P85</f>
        <v>B5801_Gag_QW9</v>
      </c>
      <c r="B84">
        <f>'All Epitope Lists'!$K85</f>
        <v>1711</v>
      </c>
      <c r="C84">
        <f>'All Epitope Lists'!$L85</f>
        <v>1737</v>
      </c>
    </row>
    <row r="85" spans="1:3" x14ac:dyDescent="0.2">
      <c r="A85" t="str">
        <f>'All Epitope Lists'!$P86</f>
        <v>B4801_Gag_VL9</v>
      </c>
      <c r="B85">
        <f>'All Epitope Lists'!$K86</f>
        <v>1726</v>
      </c>
      <c r="C85">
        <f>'All Epitope Lists'!$L86</f>
        <v>1752</v>
      </c>
    </row>
    <row r="86" spans="1:3" x14ac:dyDescent="0.2">
      <c r="A86" t="str">
        <f>'All Epitope Lists'!$P87</f>
        <v>B0801_Gag_DL9</v>
      </c>
      <c r="B86">
        <f>'All Epitope Lists'!$K87</f>
        <v>1774</v>
      </c>
      <c r="C86">
        <f>'All Epitope Lists'!$L87</f>
        <v>1800</v>
      </c>
    </row>
    <row r="87" spans="1:3" x14ac:dyDescent="0.2">
      <c r="A87" t="str">
        <f>'All Epitope Lists'!$P88</f>
        <v>A1101_Gag_AK11</v>
      </c>
      <c r="B87">
        <f>'All Epitope Lists'!$K88</f>
        <v>1834</v>
      </c>
      <c r="C87">
        <f>'All Epitope Lists'!$L88</f>
        <v>1866</v>
      </c>
    </row>
    <row r="88" spans="1:3" x14ac:dyDescent="0.2">
      <c r="A88" t="str">
        <f>'All Epitope Lists'!$P89</f>
        <v>A11_Gag_GK8</v>
      </c>
      <c r="B88">
        <f>'All Epitope Lists'!$K89</f>
        <v>1843</v>
      </c>
      <c r="C88">
        <f>'All Epitope Lists'!$L89</f>
        <v>1866</v>
      </c>
    </row>
    <row r="89" spans="1:3" x14ac:dyDescent="0.2">
      <c r="A89" t="str">
        <f>'All Epitope Lists'!$P90</f>
        <v>B0702_Gag_GL9</v>
      </c>
      <c r="B89">
        <f>'All Epitope Lists'!$K90</f>
        <v>1852</v>
      </c>
      <c r="C89">
        <f>'All Epitope Lists'!$L90</f>
        <v>1878</v>
      </c>
    </row>
    <row r="90" spans="1:3" x14ac:dyDescent="0.2">
      <c r="A90" t="str">
        <f>'All Epitope Lists'!$P91</f>
        <v>A02_Gag_VV9</v>
      </c>
      <c r="B90">
        <f>'All Epitope Lists'!$K91</f>
        <v>1873</v>
      </c>
      <c r="C90">
        <f>'All Epitope Lists'!$L91</f>
        <v>1899</v>
      </c>
    </row>
    <row r="91" spans="1:3" x14ac:dyDescent="0.2">
      <c r="A91" t="str">
        <f>'All Epitope Lists'!$P92</f>
        <v>B4501_Gag_AS10</v>
      </c>
      <c r="B91">
        <f>'All Epitope Lists'!$K92</f>
        <v>1879</v>
      </c>
      <c r="C91">
        <f>'All Epitope Lists'!$L92</f>
        <v>1908</v>
      </c>
    </row>
    <row r="92" spans="1:3" x14ac:dyDescent="0.2">
      <c r="A92" t="str">
        <f>'All Epitope Lists'!$P93</f>
        <v>B27_Gag_QK10</v>
      </c>
      <c r="B92">
        <f>'All Epitope Lists'!$K93</f>
        <v>1924</v>
      </c>
      <c r="C92">
        <f>'All Epitope Lists'!$L93</f>
        <v>1953</v>
      </c>
    </row>
    <row r="93" spans="1:3" x14ac:dyDescent="0.2">
      <c r="A93" t="str">
        <f>'All Epitope Lists'!$P94</f>
        <v>B27_Gag_FK9</v>
      </c>
      <c r="B93">
        <f>'All Epitope Lists'!$K94</f>
        <v>1936</v>
      </c>
      <c r="C93">
        <f>'All Epitope Lists'!$L94</f>
        <v>1962</v>
      </c>
    </row>
    <row r="94" spans="1:3" x14ac:dyDescent="0.2">
      <c r="A94" t="str">
        <f>'All Epitope Lists'!$P95</f>
        <v>B14_Gag_CC9</v>
      </c>
      <c r="B94">
        <f>'All Epitope Lists'!$K95</f>
        <v>2002</v>
      </c>
      <c r="C94">
        <f>'All Epitope Lists'!$L95</f>
        <v>2028</v>
      </c>
    </row>
    <row r="95" spans="1:3" x14ac:dyDescent="0.2">
      <c r="A95" t="str">
        <f>'All Epitope Lists'!$P96</f>
        <v>B0702_Gag_AK9</v>
      </c>
      <c r="B95">
        <f>'All Epitope Lists'!$K96</f>
        <v>2008</v>
      </c>
      <c r="C95">
        <f>'All Epitope Lists'!$L96</f>
        <v>2034</v>
      </c>
    </row>
    <row r="96" spans="1:3" x14ac:dyDescent="0.2">
      <c r="A96" t="str">
        <f>'All Epitope Lists'!$P97</f>
        <v>B4002_Gag_TL8</v>
      </c>
      <c r="B96">
        <f>'All Epitope Lists'!$K97</f>
        <v>2068</v>
      </c>
      <c r="C96">
        <f>'All Epitope Lists'!$L97</f>
        <v>2091</v>
      </c>
    </row>
    <row r="97" spans="1:3" x14ac:dyDescent="0.2">
      <c r="A97" t="str">
        <f>'All Epitope Lists'!$P98</f>
        <v>B13_Gag_RI9</v>
      </c>
      <c r="B97">
        <f>'All Epitope Lists'!$K98</f>
        <v>2074</v>
      </c>
      <c r="C97">
        <f>'All Epitope Lists'!$L98</f>
        <v>2100</v>
      </c>
    </row>
    <row r="98" spans="1:3" x14ac:dyDescent="0.2">
      <c r="A98" t="str">
        <f>'All Epitope Lists'!$P99</f>
        <v>B4801_Gag_RI9</v>
      </c>
      <c r="B98">
        <f>'All Epitope Lists'!$K99</f>
        <v>2074</v>
      </c>
      <c r="C98">
        <f>'All Epitope Lists'!$L99</f>
        <v>2100</v>
      </c>
    </row>
    <row r="99" spans="1:3" x14ac:dyDescent="0.2">
      <c r="A99" t="str">
        <f>'All Epitope Lists'!$P100</f>
        <v>A0201_Gag_FK10</v>
      </c>
      <c r="B99">
        <f>'All Epitope Lists'!$K100</f>
        <v>2086</v>
      </c>
      <c r="C99">
        <f>'All Epitope Lists'!$L100</f>
        <v>2115</v>
      </c>
    </row>
    <row r="100" spans="1:3" x14ac:dyDescent="0.2">
      <c r="A100" t="str">
        <f>'All Epitope Lists'!$P101</f>
        <v>Cw0102_Pol_NL8</v>
      </c>
      <c r="B100">
        <f>'All Epitope Lists'!$K101</f>
        <v>2154</v>
      </c>
      <c r="C100">
        <f>'All Epitope Lists'!$L101</f>
        <v>2177</v>
      </c>
    </row>
    <row r="101" spans="1:3" x14ac:dyDescent="0.2">
      <c r="A101" t="str">
        <f>'All Epitope Lists'!$P102</f>
        <v>B4001_Gag_KL9</v>
      </c>
      <c r="B101">
        <f>'All Epitope Lists'!$K102</f>
        <v>2230</v>
      </c>
      <c r="C101">
        <f>'All Epitope Lists'!$L102</f>
        <v>2256</v>
      </c>
    </row>
    <row r="102" spans="1:3" x14ac:dyDescent="0.2">
      <c r="A102" t="str">
        <f>'All Epitope Lists'!$P103</f>
        <v>A6802_Pol_IV9</v>
      </c>
      <c r="B102">
        <f>'All Epitope Lists'!$K103</f>
        <v>2259</v>
      </c>
      <c r="C102">
        <f>'All Epitope Lists'!$L103</f>
        <v>2285</v>
      </c>
    </row>
    <row r="103" spans="1:3" x14ac:dyDescent="0.2">
      <c r="A103" t="str">
        <f>'All Epitope Lists'!$P104</f>
        <v>A7401_Pol_IV9</v>
      </c>
      <c r="B103">
        <f>'All Epitope Lists'!$K104</f>
        <v>2259</v>
      </c>
      <c r="C103">
        <f>'All Epitope Lists'!$L104</f>
        <v>2285</v>
      </c>
    </row>
    <row r="104" spans="1:3" x14ac:dyDescent="0.2">
      <c r="A104" t="str">
        <f>'All Epitope Lists'!$P105</f>
        <v>B52_Pol_WI8</v>
      </c>
      <c r="B104">
        <f>'All Epitope Lists'!$K105</f>
        <v>2268</v>
      </c>
      <c r="C104">
        <f>'All Epitope Lists'!$L105</f>
        <v>2295</v>
      </c>
    </row>
    <row r="105" spans="1:3" x14ac:dyDescent="0.2">
      <c r="A105" t="str">
        <f>'All Epitope Lists'!$P106</f>
        <v>B51_Pol_RI8</v>
      </c>
      <c r="B105">
        <f>'All Epitope Lists'!$K106</f>
        <v>2274</v>
      </c>
      <c r="C105">
        <f>'All Epitope Lists'!$L106</f>
        <v>2297</v>
      </c>
    </row>
    <row r="106" spans="1:3" x14ac:dyDescent="0.2">
      <c r="A106" t="str">
        <f>'All Epitope Lists'!$P107</f>
        <v>A6802_Pol_DL9</v>
      </c>
      <c r="B106">
        <f>'All Epitope Lists'!$K107</f>
        <v>2340</v>
      </c>
      <c r="C106">
        <f>'All Epitope Lists'!$L107</f>
        <v>2366</v>
      </c>
    </row>
    <row r="107" spans="1:3" x14ac:dyDescent="0.2">
      <c r="A107" t="str">
        <f>'All Epitope Lists'!$P108</f>
        <v>B44_Pol_EW9</v>
      </c>
      <c r="B107">
        <f>'All Epitope Lists'!$K108</f>
        <v>2352</v>
      </c>
      <c r="C107">
        <f>'All Epitope Lists'!$L108</f>
        <v>2378</v>
      </c>
    </row>
    <row r="108" spans="1:3" x14ac:dyDescent="0.2">
      <c r="A108" t="str">
        <f>'All Epitope Lists'!$P109</f>
        <v>B13_Pol_RI10</v>
      </c>
      <c r="B108">
        <f>'All Epitope Lists'!$K109</f>
        <v>2421</v>
      </c>
      <c r="C108">
        <f>'All Epitope Lists'!$L109</f>
        <v>2450</v>
      </c>
    </row>
    <row r="109" spans="1:3" x14ac:dyDescent="0.2">
      <c r="A109" t="str">
        <f>'All Epitope Lists'!$P110</f>
        <v>B1503_Pol_GL9</v>
      </c>
      <c r="B109">
        <f>'All Epitope Lists'!$K110</f>
        <v>2454</v>
      </c>
      <c r="C109">
        <f>'All Epitope Lists'!$L110</f>
        <v>2480</v>
      </c>
    </row>
    <row r="110" spans="1:3" x14ac:dyDescent="0.2">
      <c r="A110" t="str">
        <f>'All Epitope Lists'!$P111</f>
        <v>B57_Pol_KV8</v>
      </c>
      <c r="B110">
        <f>'All Epitope Lists'!$K111</f>
        <v>2460</v>
      </c>
      <c r="C110">
        <f>'All Epitope Lists'!$L111</f>
        <v>2483</v>
      </c>
    </row>
    <row r="111" spans="1:3" x14ac:dyDescent="0.2">
      <c r="A111" t="str">
        <f>'All Epitope Lists'!$P112</f>
        <v>A0201_Pol_LI9</v>
      </c>
      <c r="B111">
        <f>'All Epitope Lists'!$K112</f>
        <v>2478</v>
      </c>
      <c r="C111">
        <f>'All Epitope Lists'!$L112</f>
        <v>2504</v>
      </c>
    </row>
    <row r="112" spans="1:3" x14ac:dyDescent="0.2">
      <c r="A112" t="str">
        <f>'All Epitope Lists'!$P113</f>
        <v>B81_Pol_TL11</v>
      </c>
      <c r="B112">
        <f>'All Epitope Lists'!$K113</f>
        <v>2490</v>
      </c>
      <c r="C112">
        <f>'All Epitope Lists'!$L113</f>
        <v>2522</v>
      </c>
    </row>
    <row r="113" spans="1:3" x14ac:dyDescent="0.2">
      <c r="A113" t="str">
        <f>'All Epitope Lists'!$P114</f>
        <v>B5401_Pol_FV9</v>
      </c>
      <c r="B113">
        <f>'All Epitope Lists'!$K114</f>
        <v>2547</v>
      </c>
      <c r="C113">
        <f>'All Epitope Lists'!$L114</f>
        <v>2573</v>
      </c>
    </row>
    <row r="114" spans="1:3" x14ac:dyDescent="0.2">
      <c r="A114" t="str">
        <f>'All Epitope Lists'!$P115</f>
        <v>B4001_Pol_IL8</v>
      </c>
      <c r="B114">
        <f>'All Epitope Lists'!$K115</f>
        <v>2562</v>
      </c>
      <c r="C114">
        <f>'All Epitope Lists'!$L115</f>
        <v>2585</v>
      </c>
    </row>
    <row r="115" spans="1:3" x14ac:dyDescent="0.2">
      <c r="A115" t="str">
        <f>'All Epitope Lists'!$P116</f>
        <v>B0801_Pol_GL9</v>
      </c>
      <c r="B115">
        <f>'All Epitope Lists'!$K116</f>
        <v>2601</v>
      </c>
      <c r="C115">
        <f>'All Epitope Lists'!$L116</f>
        <v>2627</v>
      </c>
    </row>
    <row r="116" spans="1:3" x14ac:dyDescent="0.2">
      <c r="A116" t="str">
        <f>'All Epitope Lists'!$P117</f>
        <v>A0201_Pol_AM9</v>
      </c>
      <c r="B116">
        <f>'All Epitope Lists'!$K117</f>
        <v>2646</v>
      </c>
      <c r="C116">
        <f>'All Epitope Lists'!$L117</f>
        <v>2672</v>
      </c>
    </row>
    <row r="117" spans="1:3" x14ac:dyDescent="0.2">
      <c r="A117" t="str">
        <f>'All Epitope Lists'!$P118</f>
        <v>A0301_Pol_AK11</v>
      </c>
      <c r="B117">
        <f>'All Epitope Lists'!$K118</f>
        <v>2646</v>
      </c>
      <c r="C117">
        <f>'All Epitope Lists'!$L118</f>
        <v>2678</v>
      </c>
    </row>
    <row r="118" spans="1:3" x14ac:dyDescent="0.2">
      <c r="A118" t="str">
        <f>'All Epitope Lists'!$P119</f>
        <v>B51_Pol_EI9-RT</v>
      </c>
      <c r="B118">
        <f>'All Epitope Lists'!$K119</f>
        <v>2673</v>
      </c>
      <c r="C118">
        <f>'All Epitope Lists'!$L119</f>
        <v>2699</v>
      </c>
    </row>
    <row r="119" spans="1:3" x14ac:dyDescent="0.2">
      <c r="A119" t="str">
        <f>'All Epitope Lists'!$P120</f>
        <v>A0301_Pol_KK10</v>
      </c>
      <c r="B119">
        <f>'All Epitope Lists'!$K120</f>
        <v>2766</v>
      </c>
      <c r="C119">
        <f>'All Epitope Lists'!$L120</f>
        <v>2795</v>
      </c>
    </row>
    <row r="120" spans="1:3" x14ac:dyDescent="0.2">
      <c r="A120" t="str">
        <f>'All Epitope Lists'!$P121</f>
        <v>A0301_Pol_GK9</v>
      </c>
      <c r="B120">
        <f>'All Epitope Lists'!$K121</f>
        <v>2826</v>
      </c>
      <c r="C120">
        <f>'All Epitope Lists'!$L121</f>
        <v>2852</v>
      </c>
    </row>
    <row r="121" spans="1:3" x14ac:dyDescent="0.2">
      <c r="A121" t="str">
        <f>'All Epitope Lists'!$P122</f>
        <v>B3501_Pol_TY9</v>
      </c>
      <c r="B121">
        <f>'All Epitope Lists'!$K122</f>
        <v>2868</v>
      </c>
      <c r="C121">
        <f>'All Epitope Lists'!$L122</f>
        <v>2894</v>
      </c>
    </row>
    <row r="122" spans="1:3" x14ac:dyDescent="0.2">
      <c r="A122" t="str">
        <f>'All Epitope Lists'!$P123</f>
        <v>A1101_Pol_SK10</v>
      </c>
      <c r="B122">
        <f>'All Epitope Lists'!$K123</f>
        <v>2898</v>
      </c>
      <c r="C122">
        <f>'All Epitope Lists'!$L123</f>
        <v>2927</v>
      </c>
    </row>
    <row r="123" spans="1:3" x14ac:dyDescent="0.2">
      <c r="A123" t="str">
        <f>'All Epitope Lists'!$P124</f>
        <v>B3501_Pol_VY10</v>
      </c>
      <c r="B123">
        <f>'All Epitope Lists'!$K124</f>
        <v>2901</v>
      </c>
      <c r="C123">
        <f>'All Epitope Lists'!$L124</f>
        <v>2930</v>
      </c>
    </row>
    <row r="124" spans="1:3" x14ac:dyDescent="0.2">
      <c r="A124" t="str">
        <f>'All Epitope Lists'!$P125</f>
        <v>A02_Pol_YV9</v>
      </c>
      <c r="B124">
        <f>'All Epitope Lists'!$K125</f>
        <v>2928</v>
      </c>
      <c r="C124">
        <f>'All Epitope Lists'!$L125</f>
        <v>2954</v>
      </c>
    </row>
    <row r="125" spans="1:3" x14ac:dyDescent="0.2">
      <c r="A125" t="str">
        <f>'All Epitope Lists'!$P126</f>
        <v>A0206_Pol_YI9</v>
      </c>
      <c r="B125">
        <f>'All Epitope Lists'!$K126</f>
        <v>2928</v>
      </c>
      <c r="C125">
        <f>'All Epitope Lists'!$L126</f>
        <v>2954</v>
      </c>
    </row>
    <row r="126" spans="1:3" x14ac:dyDescent="0.2">
      <c r="A126" t="str">
        <f>'All Epitope Lists'!$P127</f>
        <v>B5101_Pol_TI8</v>
      </c>
      <c r="B126">
        <f>'All Epitope Lists'!$K127</f>
        <v>2931</v>
      </c>
      <c r="C126">
        <f>'All Epitope Lists'!$L127</f>
        <v>2954</v>
      </c>
    </row>
    <row r="127" spans="1:3" x14ac:dyDescent="0.2">
      <c r="A127" t="str">
        <f>'All Epitope Lists'!$P128</f>
        <v>B18_Pol_NY10</v>
      </c>
      <c r="B127">
        <f>'All Epitope Lists'!$K128</f>
        <v>2958</v>
      </c>
      <c r="C127">
        <f>'All Epitope Lists'!$L128</f>
        <v>2987</v>
      </c>
    </row>
    <row r="128" spans="1:3" x14ac:dyDescent="0.2">
      <c r="A128" t="str">
        <f>'All Epitope Lists'!$P129</f>
        <v>B1401_Pol_IL8</v>
      </c>
      <c r="B128">
        <f>'All Epitope Lists'!$K129</f>
        <v>2973</v>
      </c>
      <c r="C128">
        <f>'All Epitope Lists'!$L129</f>
        <v>2996</v>
      </c>
    </row>
    <row r="129" spans="1:3" x14ac:dyDescent="0.2">
      <c r="A129" t="str">
        <f>'All Epitope Lists'!$P130</f>
        <v>B73_Pol_IP9</v>
      </c>
      <c r="B129">
        <f>'All Epitope Lists'!$K130</f>
        <v>2973</v>
      </c>
      <c r="C129">
        <f>'All Epitope Lists'!$L130</f>
        <v>2999</v>
      </c>
    </row>
    <row r="130" spans="1:3" x14ac:dyDescent="0.2">
      <c r="A130" t="str">
        <f>'All Epitope Lists'!$P131</f>
        <v>B5401_Pol_LA10</v>
      </c>
      <c r="B130">
        <f>'All Epitope Lists'!$K131</f>
        <v>2994</v>
      </c>
      <c r="C130">
        <f>'All Epitope Lists'!$L131</f>
        <v>3023</v>
      </c>
    </row>
    <row r="131" spans="1:3" x14ac:dyDescent="0.2">
      <c r="A131" t="str">
        <f>'All Epitope Lists'!$P132</f>
        <v>B7_Pol_SM9</v>
      </c>
      <c r="B131">
        <f>'All Epitope Lists'!$K132</f>
        <v>3015</v>
      </c>
      <c r="C131">
        <f>'All Epitope Lists'!$L132</f>
        <v>3041</v>
      </c>
    </row>
    <row r="132" spans="1:3" x14ac:dyDescent="0.2">
      <c r="A132" t="str">
        <f>'All Epitope Lists'!$P133</f>
        <v>A1101_Pol_SK11</v>
      </c>
      <c r="B132">
        <f>'All Epitope Lists'!$K133</f>
        <v>3015</v>
      </c>
      <c r="C132">
        <f>'All Epitope Lists'!$L133</f>
        <v>3047</v>
      </c>
    </row>
    <row r="133" spans="1:3" x14ac:dyDescent="0.2">
      <c r="A133" t="str">
        <f>'All Epitope Lists'!$P134</f>
        <v>B0702_Pol_SK11</v>
      </c>
      <c r="B133">
        <f>'All Epitope Lists'!$K134</f>
        <v>3015</v>
      </c>
      <c r="C133">
        <f>'All Epitope Lists'!$L134</f>
        <v>3047</v>
      </c>
    </row>
    <row r="134" spans="1:3" x14ac:dyDescent="0.2">
      <c r="A134" t="str">
        <f>'All Epitope Lists'!$P135</f>
        <v>A0301_Pol_AK9</v>
      </c>
      <c r="B134">
        <f>'All Epitope Lists'!$K135</f>
        <v>3021</v>
      </c>
      <c r="C134">
        <f>'All Epitope Lists'!$L135</f>
        <v>3047</v>
      </c>
    </row>
    <row r="135" spans="1:3" x14ac:dyDescent="0.2">
      <c r="A135" t="str">
        <f>'All Epitope Lists'!$P136</f>
        <v>A1101_Pol_AK9</v>
      </c>
      <c r="B135">
        <f>'All Epitope Lists'!$K136</f>
        <v>3021</v>
      </c>
      <c r="C135">
        <f>'All Epitope Lists'!$L136</f>
        <v>3047</v>
      </c>
    </row>
    <row r="136" spans="1:3" x14ac:dyDescent="0.2">
      <c r="A136" t="str">
        <f>'All Epitope Lists'!$P137</f>
        <v>A3002_Pol_KY9</v>
      </c>
      <c r="B136">
        <f>'All Epitope Lists'!$K137</f>
        <v>3066</v>
      </c>
      <c r="C136">
        <f>'All Epitope Lists'!$L137</f>
        <v>3092</v>
      </c>
    </row>
    <row r="137" spans="1:3" x14ac:dyDescent="0.2">
      <c r="A137" t="str">
        <f>'All Epitope Lists'!$P138</f>
        <v>Cw1202_Pol_KY9</v>
      </c>
      <c r="B137">
        <f>'All Epitope Lists'!$K138</f>
        <v>3066</v>
      </c>
      <c r="C137">
        <f>'All Epitope Lists'!$L138</f>
        <v>3092</v>
      </c>
    </row>
    <row r="138" spans="1:3" x14ac:dyDescent="0.2">
      <c r="A138" t="str">
        <f>'All Epitope Lists'!$P139</f>
        <v>B18_Pol_NY9</v>
      </c>
      <c r="B138">
        <f>'All Epitope Lists'!$K139</f>
        <v>3072</v>
      </c>
      <c r="C138">
        <f>'All Epitope Lists'!$L139</f>
        <v>3098</v>
      </c>
    </row>
    <row r="139" spans="1:3" x14ac:dyDescent="0.2">
      <c r="A139" t="str">
        <f>'All Epitope Lists'!$P140</f>
        <v>B3501_Pol_HY9</v>
      </c>
      <c r="B139">
        <f>'All Epitope Lists'!$K140</f>
        <v>3072</v>
      </c>
      <c r="C139">
        <f>'All Epitope Lists'!$L140</f>
        <v>3098</v>
      </c>
    </row>
    <row r="140" spans="1:3" x14ac:dyDescent="0.2">
      <c r="A140" t="str">
        <f>'All Epitope Lists'!$P141</f>
        <v>B1801_Pol_ED9</v>
      </c>
      <c r="B140">
        <f>'All Epitope Lists'!$K141</f>
        <v>3078</v>
      </c>
      <c r="C140">
        <f>'All Epitope Lists'!$L141</f>
        <v>3104</v>
      </c>
    </row>
    <row r="141" spans="1:3" x14ac:dyDescent="0.2">
      <c r="A141" t="str">
        <f>'All Epitope Lists'!$P142</f>
        <v>A0201_Pol_VL9</v>
      </c>
      <c r="B141">
        <f>'All Epitope Lists'!$K142</f>
        <v>3084</v>
      </c>
      <c r="C141">
        <f>'All Epitope Lists'!$L142</f>
        <v>3110</v>
      </c>
    </row>
    <row r="142" spans="1:3" x14ac:dyDescent="0.2">
      <c r="A142" t="str">
        <f>'All Epitope Lists'!$P143</f>
        <v>A0201_Pol_VV11</v>
      </c>
      <c r="B142">
        <f>'All Epitope Lists'!$K143</f>
        <v>3084</v>
      </c>
      <c r="C142">
        <f>'All Epitope Lists'!$L143</f>
        <v>3116</v>
      </c>
    </row>
    <row r="143" spans="1:3" x14ac:dyDescent="0.2">
      <c r="A143" t="str">
        <f>'All Epitope Lists'!$P145</f>
        <v>B4001_Pol_IL9</v>
      </c>
      <c r="B143">
        <f>'All Epitope Lists'!$K145</f>
        <v>3153</v>
      </c>
      <c r="C143">
        <f>'All Epitope Lists'!$L145</f>
        <v>3179</v>
      </c>
    </row>
    <row r="144" spans="1:3" x14ac:dyDescent="0.2">
      <c r="A144" t="str">
        <f>'All Epitope Lists'!$P146</f>
        <v>B5701_Pol_IW9</v>
      </c>
      <c r="B144">
        <f>'All Epitope Lists'!$K146</f>
        <v>3279</v>
      </c>
      <c r="C144">
        <f>'All Epitope Lists'!$L146</f>
        <v>3305</v>
      </c>
    </row>
    <row r="145" spans="1:3" x14ac:dyDescent="0.2">
      <c r="A145" t="str">
        <f>'All Epitope Lists'!$P147</f>
        <v>B1501_Pol_LY12</v>
      </c>
      <c r="B145">
        <f>'All Epitope Lists'!$K147</f>
        <v>3327</v>
      </c>
      <c r="C145">
        <f>'All Epitope Lists'!$L147</f>
        <v>3362</v>
      </c>
    </row>
    <row r="146" spans="1:3" x14ac:dyDescent="0.2">
      <c r="A146" t="str">
        <f>'All Epitope Lists'!$P148</f>
        <v>A3002_Pol_KIY9</v>
      </c>
      <c r="B146">
        <f>'All Epitope Lists'!$K148</f>
        <v>3336</v>
      </c>
      <c r="C146">
        <f>'All Epitope Lists'!$L148</f>
        <v>3362</v>
      </c>
    </row>
    <row r="147" spans="1:3" x14ac:dyDescent="0.2">
      <c r="A147" t="str">
        <f>'All Epitope Lists'!$P149</f>
        <v>A0301_Pol_QR9</v>
      </c>
      <c r="B147">
        <f>'All Epitope Lists'!$K149</f>
        <v>3354</v>
      </c>
      <c r="C147">
        <f>'All Epitope Lists'!$L149</f>
        <v>3380</v>
      </c>
    </row>
    <row r="148" spans="1:3" x14ac:dyDescent="0.2">
      <c r="A148" t="str">
        <f>'All Epitope Lists'!$P150</f>
        <v>B4201_Pol_YL9</v>
      </c>
      <c r="B148">
        <f>'All Epitope Lists'!$K150</f>
        <v>3360</v>
      </c>
      <c r="C148">
        <f>'All Epitope Lists'!$L150</f>
        <v>3386</v>
      </c>
    </row>
    <row r="149" spans="1:3" x14ac:dyDescent="0.2">
      <c r="A149" t="str">
        <f>'All Epitope Lists'!$P151</f>
        <v>B3501_Pol_IL9</v>
      </c>
      <c r="B149">
        <f>'All Epitope Lists'!$K151</f>
        <v>3426</v>
      </c>
      <c r="C149">
        <f>'All Epitope Lists'!$L151</f>
        <v>3452</v>
      </c>
    </row>
    <row r="150" spans="1:3" x14ac:dyDescent="0.2">
      <c r="A150" t="str">
        <f>'All Epitope Lists'!$P152</f>
        <v>B5101_Pol_IL9</v>
      </c>
      <c r="B150">
        <f>'All Epitope Lists'!$K152</f>
        <v>3426</v>
      </c>
      <c r="C150">
        <f>'All Epitope Lists'!$L152</f>
        <v>3452</v>
      </c>
    </row>
    <row r="151" spans="1:3" x14ac:dyDescent="0.2">
      <c r="A151" t="str">
        <f>'All Epitope Lists'!$P153</f>
        <v>A0201_Pol_IV9</v>
      </c>
      <c r="B151">
        <f>'All Epitope Lists'!$K153</f>
        <v>3474</v>
      </c>
      <c r="C151">
        <f>'All Epitope Lists'!$L153</f>
        <v>3500</v>
      </c>
    </row>
    <row r="152" spans="1:3" x14ac:dyDescent="0.2">
      <c r="A152" t="str">
        <f>'All Epitope Lists'!$P154</f>
        <v>B1501_Pol_IY10</v>
      </c>
      <c r="B152">
        <f>'All Epitope Lists'!$K154</f>
        <v>3474</v>
      </c>
      <c r="C152">
        <f>'All Epitope Lists'!$L154</f>
        <v>3503</v>
      </c>
    </row>
    <row r="153" spans="1:3" x14ac:dyDescent="0.2">
      <c r="A153" t="str">
        <f>'All Epitope Lists'!$P155</f>
        <v>Cw1202_Pol_IY10</v>
      </c>
      <c r="B153">
        <f>'All Epitope Lists'!$K155</f>
        <v>3474</v>
      </c>
      <c r="C153">
        <f>'All Epitope Lists'!$L155</f>
        <v>3503</v>
      </c>
    </row>
    <row r="154" spans="1:3" x14ac:dyDescent="0.2">
      <c r="A154" t="str">
        <f>'All Epitope Lists'!$P156</f>
        <v>A24_Pol_VL9</v>
      </c>
      <c r="B154">
        <f>'All Epitope Lists'!$K156</f>
        <v>3498</v>
      </c>
      <c r="C154">
        <f>'All Epitope Lists'!$L156</f>
        <v>3525</v>
      </c>
    </row>
    <row r="155" spans="1:3" x14ac:dyDescent="0.2">
      <c r="A155" t="str">
        <f>'All Epitope Lists'!$P157</f>
        <v>B13_Pol_GI9</v>
      </c>
      <c r="B155">
        <f>'All Epitope Lists'!$K157</f>
        <v>3546</v>
      </c>
      <c r="C155">
        <f>'All Epitope Lists'!$L157</f>
        <v>3572</v>
      </c>
    </row>
    <row r="156" spans="1:3" x14ac:dyDescent="0.2">
      <c r="A156" t="str">
        <f>'All Epitope Lists'!$P158</f>
        <v>A1101_Pol_IK10</v>
      </c>
      <c r="B156">
        <f>'All Epitope Lists'!$K158</f>
        <v>3570</v>
      </c>
      <c r="C156">
        <f>'All Epitope Lists'!$L158</f>
        <v>3599</v>
      </c>
    </row>
    <row r="157" spans="1:3" x14ac:dyDescent="0.2">
      <c r="A157" t="str">
        <f>'All Epitope Lists'!$P159</f>
        <v>A3002_Pol_RV10</v>
      </c>
      <c r="B157">
        <f>'All Epitope Lists'!$K159</f>
        <v>3615</v>
      </c>
      <c r="C157">
        <f>'All Epitope Lists'!$L159</f>
        <v>3644</v>
      </c>
    </row>
    <row r="158" spans="1:3" x14ac:dyDescent="0.2">
      <c r="A158" t="str">
        <f>'All Epitope Lists'!$P160</f>
        <v>A0301_Pol_RK11</v>
      </c>
      <c r="B158">
        <f>'All Epitope Lists'!$K160</f>
        <v>3615</v>
      </c>
      <c r="C158">
        <f>'All Epitope Lists'!$L160</f>
        <v>3647</v>
      </c>
    </row>
    <row r="159" spans="1:3" x14ac:dyDescent="0.2">
      <c r="A159" t="str">
        <f>'All Epitope Lists'!$P161</f>
        <v>B57_Pol_IW9</v>
      </c>
      <c r="B159">
        <f>'All Epitope Lists'!$K161</f>
        <v>3672</v>
      </c>
      <c r="C159">
        <f>'All Epitope Lists'!$L161</f>
        <v>3698</v>
      </c>
    </row>
    <row r="160" spans="1:3" x14ac:dyDescent="0.2">
      <c r="A160" t="str">
        <f>'All Epitope Lists'!$P162</f>
        <v>B5801_Pol_IW9</v>
      </c>
      <c r="B160">
        <f>'All Epitope Lists'!$K162</f>
        <v>3672</v>
      </c>
      <c r="C160">
        <f>'All Epitope Lists'!$L162</f>
        <v>3698</v>
      </c>
    </row>
    <row r="161" spans="1:3" x14ac:dyDescent="0.2">
      <c r="A161" t="str">
        <f>'All Epitope Lists'!$P163</f>
        <v>A3201_Pol_PW10</v>
      </c>
      <c r="B161">
        <f>'All Epitope Lists'!$K163</f>
        <v>3723</v>
      </c>
      <c r="C161">
        <f>'All Epitope Lists'!$L163</f>
        <v>3752</v>
      </c>
    </row>
    <row r="162" spans="1:3" x14ac:dyDescent="0.2">
      <c r="A162" t="str">
        <f>'All Epitope Lists'!$P164</f>
        <v>B49_Pol_TW10</v>
      </c>
      <c r="B162">
        <f>'All Epitope Lists'!$K164</f>
        <v>3738</v>
      </c>
      <c r="C162">
        <f>'All Epitope Lists'!$L164</f>
        <v>3767</v>
      </c>
    </row>
    <row r="163" spans="1:3" x14ac:dyDescent="0.2">
      <c r="A163" t="str">
        <f>'All Epitope Lists'!$P165</f>
        <v>A6802_Pol_GA10</v>
      </c>
      <c r="B163">
        <f>'All Epitope Lists'!$K165</f>
        <v>3855</v>
      </c>
      <c r="C163">
        <f>'All Epitope Lists'!$L165</f>
        <v>3884</v>
      </c>
    </row>
    <row r="164" spans="1:3" x14ac:dyDescent="0.2">
      <c r="A164" t="str">
        <f>'All Epitope Lists'!$P166</f>
        <v>A6802_Pol_EA8</v>
      </c>
      <c r="B164">
        <f>'All Epitope Lists'!$K166</f>
        <v>3861</v>
      </c>
      <c r="C164">
        <f>'All Epitope Lists'!$L166</f>
        <v>3884</v>
      </c>
    </row>
    <row r="165" spans="1:3" x14ac:dyDescent="0.2">
      <c r="A165" t="str">
        <f>'All Epitope Lists'!$P167</f>
        <v>A2601_Pol_ER11</v>
      </c>
      <c r="B165">
        <f>'All Epitope Lists'!$K167</f>
        <v>3861</v>
      </c>
      <c r="C165">
        <f>'All Epitope Lists'!$L167</f>
        <v>3893</v>
      </c>
    </row>
    <row r="166" spans="1:3" x14ac:dyDescent="0.2">
      <c r="A166" t="str">
        <f>'All Epitope Lists'!$P168</f>
        <v>A66_Pol_ER11</v>
      </c>
      <c r="B166">
        <f>'All Epitope Lists'!$K168</f>
        <v>3861</v>
      </c>
      <c r="C166">
        <f>'All Epitope Lists'!$L168</f>
        <v>3893</v>
      </c>
    </row>
    <row r="167" spans="1:3" x14ac:dyDescent="0.2">
      <c r="A167" t="str">
        <f>'All Epitope Lists'!$P169</f>
        <v>A2601_Pol_EY9</v>
      </c>
      <c r="B167">
        <f>'All Epitope Lists'!$K169</f>
        <v>3894</v>
      </c>
      <c r="C167">
        <f>'All Epitope Lists'!$L169</f>
        <v>3920</v>
      </c>
    </row>
    <row r="168" spans="1:3" x14ac:dyDescent="0.2">
      <c r="A168" t="str">
        <f>'All Epitope Lists'!$P170</f>
        <v>Cw0802_Pol_IL9</v>
      </c>
      <c r="B168">
        <f>'All Epitope Lists'!$K170</f>
        <v>4032</v>
      </c>
      <c r="C168">
        <f>'All Epitope Lists'!$L170</f>
        <v>4058</v>
      </c>
    </row>
    <row r="169" spans="1:3" x14ac:dyDescent="0.2">
      <c r="A169" t="str">
        <f>'All Epitope Lists'!$P171</f>
        <v>C08_Pol_VL8</v>
      </c>
      <c r="B169">
        <f>'All Epitope Lists'!$K171</f>
        <v>4035</v>
      </c>
      <c r="C169">
        <f>'All Epitope Lists'!$L171</f>
        <v>4058</v>
      </c>
    </row>
    <row r="170" spans="1:3" x14ac:dyDescent="0.2">
      <c r="A170" t="str">
        <f>'All Epitope Lists'!$P172</f>
        <v>B1503_Pol_VI10</v>
      </c>
      <c r="B170">
        <f>'All Epitope Lists'!$K172</f>
        <v>4035</v>
      </c>
      <c r="C170">
        <f>'All Epitope Lists'!$L172</f>
        <v>4064</v>
      </c>
    </row>
    <row r="171" spans="1:3" x14ac:dyDescent="0.2">
      <c r="A171" t="str">
        <f>'All Epitope Lists'!$P173</f>
        <v>A1101_Pol_QK9</v>
      </c>
      <c r="B171">
        <f>'All Epitope Lists'!$K173</f>
        <v>4107</v>
      </c>
      <c r="C171">
        <f>'All Epitope Lists'!$L173</f>
        <v>4133</v>
      </c>
    </row>
    <row r="172" spans="1:3" x14ac:dyDescent="0.2">
      <c r="A172" t="str">
        <f>'All Epitope Lists'!$P174</f>
        <v>A0201_Pol_KV10</v>
      </c>
      <c r="B172">
        <f>'All Epitope Lists'!$K174</f>
        <v>4197</v>
      </c>
      <c r="C172">
        <f>'All Epitope Lists'!$L174</f>
        <v>4226</v>
      </c>
    </row>
    <row r="173" spans="1:3" x14ac:dyDescent="0.2">
      <c r="A173" t="str">
        <f>'All Epitope Lists'!$P175</f>
        <v>B81_Pol_LA9</v>
      </c>
      <c r="B173">
        <f>'All Epitope Lists'!$K175</f>
        <v>4227</v>
      </c>
      <c r="C173">
        <f>'All Epitope Lists'!$L175</f>
        <v>4253</v>
      </c>
    </row>
    <row r="174" spans="1:3" x14ac:dyDescent="0.2">
      <c r="A174" t="str">
        <f>'All Epitope Lists'!$P176</f>
        <v>B4201_Pol_LI9</v>
      </c>
      <c r="B174">
        <f>'All Epitope Lists'!$K176</f>
        <v>4311</v>
      </c>
      <c r="C174">
        <f>'All Epitope Lists'!$L176</f>
        <v>4337</v>
      </c>
    </row>
    <row r="175" spans="1:3" x14ac:dyDescent="0.2">
      <c r="A175" t="str">
        <f>'All Epitope Lists'!$P177</f>
        <v>B51_Pol_LI9</v>
      </c>
      <c r="B175">
        <f>'All Epitope Lists'!$K177</f>
        <v>4311</v>
      </c>
      <c r="C175">
        <f>'All Epitope Lists'!$L177</f>
        <v>4337</v>
      </c>
    </row>
    <row r="176" spans="1:3" x14ac:dyDescent="0.2">
      <c r="A176" t="str">
        <f>'All Epitope Lists'!$P178</f>
        <v>B1510_Pol_TL9</v>
      </c>
      <c r="B176">
        <f>'All Epitope Lists'!$K178</f>
        <v>4425</v>
      </c>
      <c r="C176">
        <f>'All Epitope Lists'!$L178</f>
        <v>4451</v>
      </c>
    </row>
    <row r="177" spans="1:3" x14ac:dyDescent="0.2">
      <c r="A177" t="str">
        <f>'All Epitope Lists'!$P179</f>
        <v>B5401_Pol_HA9</v>
      </c>
      <c r="B177">
        <f>'All Epitope Lists'!$K179</f>
        <v>4461</v>
      </c>
      <c r="C177">
        <f>'All Epitope Lists'!$L179</f>
        <v>4487</v>
      </c>
    </row>
    <row r="178" spans="1:3" x14ac:dyDescent="0.2">
      <c r="A178" t="str">
        <f>'All Epitope Lists'!$P180</f>
        <v>B4002_Pol_IT10</v>
      </c>
      <c r="B178">
        <f>'All Epitope Lists'!$K180</f>
        <v>4479</v>
      </c>
      <c r="C178">
        <f>'All Epitope Lists'!$L180</f>
        <v>4508</v>
      </c>
    </row>
    <row r="179" spans="1:3" x14ac:dyDescent="0.2">
      <c r="A179" t="str">
        <f>'All Epitope Lists'!$P181</f>
        <v>Cw5_Pol_HF8</v>
      </c>
      <c r="B179">
        <f>'All Epitope Lists'!$K181</f>
        <v>4569</v>
      </c>
      <c r="C179">
        <f>'All Epitope Lists'!$L181</f>
        <v>4592</v>
      </c>
    </row>
    <row r="180" spans="1:3" x14ac:dyDescent="0.2">
      <c r="A180" t="str">
        <f>'All Epitope Lists'!$P182</f>
        <v>C05_Pol_HT9</v>
      </c>
      <c r="B180">
        <f>'All Epitope Lists'!$K182</f>
        <v>4569</v>
      </c>
      <c r="C180">
        <f>'All Epitope Lists'!$L182</f>
        <v>4595</v>
      </c>
    </row>
    <row r="181" spans="1:3" x14ac:dyDescent="0.2">
      <c r="A181" t="str">
        <f>'All Epitope Lists'!$P183</f>
        <v>B57_Pol_SW10</v>
      </c>
      <c r="B181">
        <f>'All Epitope Lists'!$K183</f>
        <v>4596</v>
      </c>
      <c r="C181">
        <f>'All Epitope Lists'!$L183</f>
        <v>4625</v>
      </c>
    </row>
    <row r="182" spans="1:3" x14ac:dyDescent="0.2">
      <c r="A182" t="str">
        <f>'All Epitope Lists'!$P184</f>
        <v>B1503_Pol_IY9</v>
      </c>
      <c r="B182">
        <f>'All Epitope Lists'!$K184</f>
        <v>4632</v>
      </c>
      <c r="C182">
        <f>'All Epitope Lists'!$L184</f>
        <v>4658</v>
      </c>
    </row>
    <row r="183" spans="1:3" x14ac:dyDescent="0.2">
      <c r="A183" t="str">
        <f>'All Epitope Lists'!$P185</f>
        <v>Cw18_Pol_VL8</v>
      </c>
      <c r="B183">
        <f>'All Epitope Lists'!$K185</f>
        <v>4722</v>
      </c>
      <c r="C183">
        <f>'All Epitope Lists'!$L185</f>
        <v>4745</v>
      </c>
    </row>
    <row r="184" spans="1:3" x14ac:dyDescent="0.2">
      <c r="A184" t="str">
        <f>'All Epitope Lists'!$P186</f>
        <v>B5701_Pol_KF9</v>
      </c>
      <c r="B184">
        <f>'All Epitope Lists'!$K186</f>
        <v>4746</v>
      </c>
      <c r="C184">
        <f>'All Epitope Lists'!$L186</f>
        <v>4772</v>
      </c>
    </row>
    <row r="185" spans="1:3" x14ac:dyDescent="0.2">
      <c r="A185" t="str">
        <f>'All Epitope Lists'!$P187</f>
        <v>A0301_Pol_AK10</v>
      </c>
      <c r="B185">
        <f>'All Epitope Lists'!$K187</f>
        <v>4764</v>
      </c>
      <c r="C185">
        <f>'All Epitope Lists'!$L187</f>
        <v>4793</v>
      </c>
    </row>
    <row r="186" spans="1:3" x14ac:dyDescent="0.2">
      <c r="A186" t="str">
        <f>'All Epitope Lists'!$P188</f>
        <v>A1101_Pol_AK10</v>
      </c>
      <c r="B186">
        <f>'All Epitope Lists'!$K188</f>
        <v>4764</v>
      </c>
      <c r="C186">
        <f>'All Epitope Lists'!$L188</f>
        <v>4793</v>
      </c>
    </row>
    <row r="187" spans="1:3" x14ac:dyDescent="0.2">
      <c r="A187" t="str">
        <f>'All Epitope Lists'!$P189</f>
        <v>B1503_Pol_FY10</v>
      </c>
      <c r="B187">
        <f>'All Epitope Lists'!$K189</f>
        <v>4782</v>
      </c>
      <c r="C187">
        <f>'All Epitope Lists'!$L189</f>
        <v>4811</v>
      </c>
    </row>
    <row r="188" spans="1:3" x14ac:dyDescent="0.2">
      <c r="A188" t="str">
        <f>'All Epitope Lists'!$P190</f>
        <v>B2705_Pol_KY9</v>
      </c>
      <c r="B188">
        <f>'All Epitope Lists'!$K190</f>
        <v>4785</v>
      </c>
      <c r="C188">
        <f>'All Epitope Lists'!$L190</f>
        <v>4811</v>
      </c>
    </row>
    <row r="189" spans="1:3" x14ac:dyDescent="0.2">
      <c r="A189" t="str">
        <f>'All Epitope Lists'!$P191</f>
        <v>B4002_Pol_GI8</v>
      </c>
      <c r="B189">
        <f>'All Epitope Lists'!$K191</f>
        <v>4818</v>
      </c>
      <c r="C189">
        <f>'All Epitope Lists'!$L191</f>
        <v>4841</v>
      </c>
    </row>
    <row r="190" spans="1:3" x14ac:dyDescent="0.2">
      <c r="A190" t="str">
        <f>'All Epitope Lists'!$P192</f>
        <v>A11_Pol_IK9</v>
      </c>
      <c r="B190">
        <f>'All Epitope Lists'!$K192</f>
        <v>4836</v>
      </c>
      <c r="C190">
        <f>'All Epitope Lists'!$L192</f>
        <v>4862</v>
      </c>
    </row>
    <row r="191" spans="1:3" x14ac:dyDescent="0.2">
      <c r="A191" t="str">
        <f>'All Epitope Lists'!$P193</f>
        <v>B5201_Pol_LI8</v>
      </c>
      <c r="B191">
        <f>'All Epitope Lists'!$K193</f>
        <v>4866</v>
      </c>
      <c r="C191">
        <f>'All Epitope Lists'!$L193</f>
        <v>4889</v>
      </c>
    </row>
    <row r="192" spans="1:3" x14ac:dyDescent="0.2">
      <c r="A192" t="str">
        <f>'All Epitope Lists'!$P194</f>
        <v>A3002_Pol_KYY9</v>
      </c>
      <c r="B192">
        <f>'All Epitope Lists'!$K194</f>
        <v>4884</v>
      </c>
      <c r="C192">
        <f>'All Epitope Lists'!$L194</f>
        <v>4910</v>
      </c>
    </row>
    <row r="193" spans="1:3" x14ac:dyDescent="0.2">
      <c r="A193" t="str">
        <f>'All Epitope Lists'!$P195</f>
        <v>B38_Pol_YW9</v>
      </c>
      <c r="B193">
        <f>'All Epitope Lists'!$K195</f>
        <v>4908</v>
      </c>
      <c r="C193">
        <f>'All Epitope Lists'!$L195</f>
        <v>4934</v>
      </c>
    </row>
    <row r="194" spans="1:3" x14ac:dyDescent="0.2">
      <c r="A194" t="str">
        <f>'All Epitope Lists'!$P196</f>
        <v>Cw18_Pol_RR9</v>
      </c>
      <c r="B194">
        <f>'All Epitope Lists'!$K196</f>
        <v>4937</v>
      </c>
      <c r="C194">
        <f>'All Epitope Lists'!$L196</f>
        <v>4966</v>
      </c>
    </row>
    <row r="195" spans="1:3" x14ac:dyDescent="0.2">
      <c r="A195" t="str">
        <f>'All Epitope Lists'!$P197</f>
        <v>B0801_Pol_VI10</v>
      </c>
      <c r="B195">
        <f>'All Epitope Lists'!$K197</f>
        <v>5004</v>
      </c>
      <c r="C195">
        <f>'All Epitope Lists'!$L197</f>
        <v>5033</v>
      </c>
    </row>
    <row r="196" spans="1:3" x14ac:dyDescent="0.2">
      <c r="A196" t="str">
        <f>'All Epitope Lists'!$P198</f>
        <v>B42_Pol_VI9</v>
      </c>
      <c r="B196">
        <f>'All Epitope Lists'!$K198</f>
        <v>5007</v>
      </c>
      <c r="C196">
        <f>'All Epitope Lists'!$L198</f>
        <v>5033</v>
      </c>
    </row>
    <row r="197" spans="1:3" x14ac:dyDescent="0.2">
      <c r="A197" t="str">
        <f>'All Epitope Lists'!$P199</f>
        <v>B1503_Pol_RY9</v>
      </c>
      <c r="B197">
        <f>'All Epitope Lists'!$K199</f>
        <v>5016</v>
      </c>
      <c r="C197">
        <f>'All Epitope Lists'!$L199</f>
        <v>5042</v>
      </c>
    </row>
    <row r="198" spans="1:3" x14ac:dyDescent="0.2">
      <c r="A198" t="str">
        <f>'All Epitope Lists'!$P200</f>
        <v>B0801_Pol_RK11</v>
      </c>
      <c r="B198">
        <f>'All Epitope Lists'!$K200</f>
        <v>5016</v>
      </c>
      <c r="C198">
        <f>'All Epitope Lists'!$L200</f>
        <v>5048</v>
      </c>
    </row>
    <row r="199" spans="1:3" x14ac:dyDescent="0.2">
      <c r="A199" t="str">
        <f>'All Epitope Lists'!$P201</f>
        <v>B0801_Pol_KK8</v>
      </c>
      <c r="B199">
        <f>'All Epitope Lists'!$K201</f>
        <v>5025</v>
      </c>
      <c r="C199">
        <f>'All Epitope Lists'!$L201</f>
        <v>5048</v>
      </c>
    </row>
    <row r="200" spans="1:3" x14ac:dyDescent="0.2">
      <c r="A200" t="str">
        <f>'All Epitope Lists'!$P202</f>
        <v>B4201_Pol_IM9</v>
      </c>
      <c r="B200">
        <f>'All Epitope Lists'!$K202</f>
        <v>5028</v>
      </c>
      <c r="C200">
        <f>'All Epitope Lists'!$L202</f>
        <v>5054</v>
      </c>
    </row>
    <row r="201" spans="1:3" x14ac:dyDescent="0.2">
      <c r="A201" t="str">
        <f>'All Epitope Lists'!$P203</f>
        <v>A0301_Vif_RK10</v>
      </c>
      <c r="B201">
        <f>'All Epitope Lists'!$K203</f>
        <v>5089</v>
      </c>
      <c r="C201">
        <f>'All Epitope Lists'!$L203</f>
        <v>5118</v>
      </c>
    </row>
    <row r="202" spans="1:3" x14ac:dyDescent="0.2">
      <c r="A202" t="str">
        <f>'All Epitope Lists'!$P204</f>
        <v>A3001_Vif_IK9</v>
      </c>
      <c r="B202">
        <f>'All Epitope Lists'!$K204</f>
        <v>5092</v>
      </c>
      <c r="C202">
        <f>'All Epitope Lists'!$L204</f>
        <v>5118</v>
      </c>
    </row>
    <row r="203" spans="1:3" x14ac:dyDescent="0.2">
      <c r="A203" t="str">
        <f>'All Epitope Lists'!$P205</f>
        <v>B2705_Vif_IH10</v>
      </c>
      <c r="B203">
        <f>'All Epitope Lists'!$K205</f>
        <v>5092</v>
      </c>
      <c r="C203">
        <f>'All Epitope Lists'!$L205</f>
        <v>5121</v>
      </c>
    </row>
    <row r="204" spans="1:3" x14ac:dyDescent="0.2">
      <c r="A204" t="str">
        <f>'All Epitope Lists'!$P206</f>
        <v>A0301_Vif_HK9</v>
      </c>
      <c r="B204">
        <f>'All Epitope Lists'!$K206</f>
        <v>5122</v>
      </c>
      <c r="C204">
        <f>'All Epitope Lists'!$L206</f>
        <v>5148</v>
      </c>
    </row>
    <row r="205" spans="1:3" x14ac:dyDescent="0.2">
      <c r="A205" t="str">
        <f>'All Epitope Lists'!$P207</f>
        <v>B5701_Vif_IF9</v>
      </c>
      <c r="B205">
        <f>'All Epitope Lists'!$K207</f>
        <v>5131</v>
      </c>
      <c r="C205">
        <f>'All Epitope Lists'!$L207</f>
        <v>5157</v>
      </c>
    </row>
    <row r="206" spans="1:3" x14ac:dyDescent="0.2">
      <c r="A206" t="str">
        <f>'All Epitope Lists'!$P208</f>
        <v>B0702_Vif_HI10</v>
      </c>
      <c r="B206">
        <f>'All Epitope Lists'!$K208</f>
        <v>5182</v>
      </c>
      <c r="C206">
        <f>'All Epitope Lists'!$L208</f>
        <v>5211</v>
      </c>
    </row>
    <row r="207" spans="1:3" x14ac:dyDescent="0.2">
      <c r="A207" t="str">
        <f>'All Epitope Lists'!$P209</f>
        <v>B51_Vif_II10</v>
      </c>
      <c r="B207">
        <f>'All Epitope Lists'!$K209</f>
        <v>5209</v>
      </c>
      <c r="C207">
        <f>'All Epitope Lists'!$L209</f>
        <v>5238</v>
      </c>
    </row>
    <row r="208" spans="1:3" x14ac:dyDescent="0.2">
      <c r="A208" t="str">
        <f>'All Epitope Lists'!$P210</f>
        <v>B1510_Vif_WI9</v>
      </c>
      <c r="B208">
        <f>'All Epitope Lists'!$K210</f>
        <v>5275</v>
      </c>
      <c r="C208">
        <f>'All Epitope Lists'!$L210</f>
        <v>5301</v>
      </c>
    </row>
    <row r="209" spans="1:3" x14ac:dyDescent="0.2">
      <c r="A209" t="str">
        <f>'All Epitope Lists'!$P211</f>
        <v>B3801_Vif_WI9</v>
      </c>
      <c r="B209">
        <f>'All Epitope Lists'!$K211</f>
        <v>5275</v>
      </c>
      <c r="C209">
        <f>'All Epitope Lists'!$L211</f>
        <v>5301</v>
      </c>
    </row>
    <row r="210" spans="1:3" x14ac:dyDescent="0.2">
      <c r="A210" t="str">
        <f>'All Epitope Lists'!$P212</f>
        <v>B5703_Vif_LW9</v>
      </c>
      <c r="B210">
        <f>'All Epitope Lists'!$K212</f>
        <v>5281</v>
      </c>
      <c r="C210">
        <f>'All Epitope Lists'!$L212</f>
        <v>5307</v>
      </c>
    </row>
    <row r="211" spans="1:3" x14ac:dyDescent="0.2">
      <c r="A211" t="str">
        <f>'All Epitope Lists'!$P213</f>
        <v>B1801_Vif_IY8</v>
      </c>
      <c r="B211">
        <f>'All Epitope Lists'!$K213</f>
        <v>5299</v>
      </c>
      <c r="C211">
        <f>'All Epitope Lists'!$L213</f>
        <v>5322</v>
      </c>
    </row>
    <row r="212" spans="1:3" x14ac:dyDescent="0.2">
      <c r="A212" t="str">
        <f>'All Epitope Lists'!$P214</f>
        <v>B1801_Vif_LY10</v>
      </c>
      <c r="B212">
        <f>'All Epitope Lists'!$K214</f>
        <v>5344</v>
      </c>
      <c r="C212">
        <f>'All Epitope Lists'!$L214</f>
        <v>5373</v>
      </c>
    </row>
    <row r="213" spans="1:3" x14ac:dyDescent="0.2">
      <c r="A213" t="str">
        <f>'All Epitope Lists'!$P215</f>
        <v>A0301_Vif_KK11</v>
      </c>
      <c r="B213">
        <f>'All Epitope Lists'!$K215</f>
        <v>5512</v>
      </c>
      <c r="C213">
        <f>'All Epitope Lists'!$L215</f>
        <v>5544</v>
      </c>
    </row>
    <row r="214" spans="1:3" x14ac:dyDescent="0.2">
      <c r="A214" t="str">
        <f>'All Epitope Lists'!$P216</f>
        <v>B51_Vpr_EI9</v>
      </c>
      <c r="B214">
        <f>'All Epitope Lists'!$K216</f>
        <v>5643</v>
      </c>
      <c r="C214">
        <f>'All Epitope Lists'!$L216</f>
        <v>5669</v>
      </c>
    </row>
    <row r="215" spans="1:3" x14ac:dyDescent="0.2">
      <c r="A215" t="str">
        <f>'All Epitope Lists'!$P217</f>
        <v>B5701_Vpr_AW9</v>
      </c>
      <c r="B215">
        <f>'All Epitope Lists'!$K217</f>
        <v>5646</v>
      </c>
      <c r="C215">
        <f>'All Epitope Lists'!$L217</f>
        <v>5672</v>
      </c>
    </row>
    <row r="216" spans="1:3" x14ac:dyDescent="0.2">
      <c r="A216" t="str">
        <f>'All Epitope Lists'!$P218</f>
        <v>B27_Vpr_VL9</v>
      </c>
      <c r="B216">
        <f>'All Epitope Lists'!$K218</f>
        <v>5649</v>
      </c>
      <c r="C216">
        <f>'All Epitope Lists'!$L218</f>
        <v>5675</v>
      </c>
    </row>
    <row r="217" spans="1:3" x14ac:dyDescent="0.2">
      <c r="A217" t="str">
        <f>'All Epitope Lists'!$P219</f>
        <v>B0702_Vpr_FL9</v>
      </c>
      <c r="B217">
        <f>'All Epitope Lists'!$K219</f>
        <v>5658</v>
      </c>
      <c r="C217">
        <f>'All Epitope Lists'!$L219</f>
        <v>5684</v>
      </c>
    </row>
    <row r="218" spans="1:3" x14ac:dyDescent="0.2">
      <c r="A218" t="str">
        <f>'All Epitope Lists'!$P220</f>
        <v>B8101_Vpr_FL9</v>
      </c>
      <c r="B218">
        <f>'All Epitope Lists'!$K220</f>
        <v>5658</v>
      </c>
      <c r="C218">
        <f>'All Epitope Lists'!$L220</f>
        <v>5684</v>
      </c>
    </row>
    <row r="219" spans="1:3" x14ac:dyDescent="0.2">
      <c r="A219" t="str">
        <f>'All Epitope Lists'!$P221</f>
        <v>A6802_Vpr_EV10</v>
      </c>
      <c r="B219">
        <f>'All Epitope Lists'!$K221</f>
        <v>5700</v>
      </c>
      <c r="C219">
        <f>'All Epitope Lists'!$L221</f>
        <v>5729</v>
      </c>
    </row>
    <row r="220" spans="1:3" x14ac:dyDescent="0.2">
      <c r="A220" t="str">
        <f>'All Epitope Lists'!$P222</f>
        <v>A6801_Vpr_DR11</v>
      </c>
      <c r="B220">
        <f>'All Epitope Lists'!$K222</f>
        <v>5712</v>
      </c>
      <c r="C220">
        <f>'All Epitope Lists'!$L222</f>
        <v>5744</v>
      </c>
    </row>
    <row r="221" spans="1:3" x14ac:dyDescent="0.2">
      <c r="A221" t="str">
        <f>'All Epitope Lists'!$P223</f>
        <v>A0201_Vpr_AL9</v>
      </c>
      <c r="B221">
        <f>'All Epitope Lists'!$K223</f>
        <v>5733</v>
      </c>
      <c r="C221">
        <f>'All Epitope Lists'!$L223</f>
        <v>5759</v>
      </c>
    </row>
    <row r="222" spans="1:3" x14ac:dyDescent="0.2">
      <c r="A222" t="str">
        <f>'All Epitope Lists'!$P224</f>
        <v>A02_Vpr_RI9</v>
      </c>
      <c r="B222">
        <f>'All Epitope Lists'!$K224</f>
        <v>5742</v>
      </c>
      <c r="C222">
        <f>'All Epitope Lists'!$L224</f>
        <v>5768</v>
      </c>
    </row>
    <row r="223" spans="1:3" x14ac:dyDescent="0.2">
      <c r="A223" t="str">
        <f>'All Epitope Lists'!$P225</f>
        <v>B53_Tat_EW10</v>
      </c>
      <c r="B223">
        <f>'All Epitope Lists'!$K225</f>
        <v>5834</v>
      </c>
      <c r="C223">
        <f>'All Epitope Lists'!$L225</f>
        <v>5863</v>
      </c>
    </row>
    <row r="224" spans="1:3" x14ac:dyDescent="0.2">
      <c r="A224" t="e">
        <f>'All Epitope Lists'!#REF!</f>
        <v>#REF!</v>
      </c>
      <c r="B224" t="e">
        <f>'All Epitope Lists'!#REF!</f>
        <v>#REF!</v>
      </c>
      <c r="C224" t="e">
        <f>'All Epitope Lists'!#REF!</f>
        <v>#REF!</v>
      </c>
    </row>
    <row r="225" spans="1:3" x14ac:dyDescent="0.2">
      <c r="A225" t="str">
        <f>'All Epitope Lists'!$P226</f>
        <v>Cw12_Tat_CC8</v>
      </c>
      <c r="B225">
        <f>'All Epitope Lists'!$K226</f>
        <v>5918</v>
      </c>
      <c r="C225">
        <f>'All Epitope Lists'!$L226</f>
        <v>5941</v>
      </c>
    </row>
    <row r="226" spans="1:3" x14ac:dyDescent="0.2">
      <c r="A226" t="str">
        <f>'All Epitope Lists'!$P227</f>
        <v>B1503_Tat_FY10</v>
      </c>
      <c r="B226">
        <f>'All Epitope Lists'!$K227</f>
        <v>5942</v>
      </c>
      <c r="C226">
        <f>'All Epitope Lists'!$L227</f>
        <v>5971</v>
      </c>
    </row>
    <row r="227" spans="1:3" x14ac:dyDescent="0.2">
      <c r="A227" t="str">
        <f>'All Epitope Lists'!$P228</f>
        <v>A6801_Tat_IR11</v>
      </c>
      <c r="B227">
        <f>'All Epitope Lists'!$K228</f>
        <v>5945</v>
      </c>
      <c r="C227">
        <f>'All Epitope Lists'!$L228</f>
        <v>5977</v>
      </c>
    </row>
    <row r="228" spans="1:3" x14ac:dyDescent="0.2">
      <c r="A228" t="str">
        <f>'All Epitope Lists'!$P229</f>
        <v>B4402_Rev_EL9</v>
      </c>
      <c r="B228">
        <f>'All Epitope Lists'!$K229</f>
        <v>5997</v>
      </c>
      <c r="C228">
        <f>'All Epitope Lists'!$L229</f>
        <v>6023</v>
      </c>
    </row>
    <row r="229" spans="1:3" x14ac:dyDescent="0.2">
      <c r="A229" t="str">
        <f>'All Epitope Lists'!$P230</f>
        <v>B5701_Rev_KY10</v>
      </c>
      <c r="B229">
        <f>'All Epitope Lists'!$K230</f>
        <v>6009</v>
      </c>
      <c r="C229">
        <f>'All Epitope Lists'!$L230</f>
        <v>6038</v>
      </c>
    </row>
    <row r="230" spans="1:3" x14ac:dyDescent="0.2">
      <c r="A230" t="str">
        <f>'All Epitope Lists'!$P231</f>
        <v>B5703_Rev_QY10</v>
      </c>
      <c r="B230">
        <f>'All Epitope Lists'!$K231</f>
        <v>6009</v>
      </c>
      <c r="C230">
        <f>'All Epitope Lists'!$L231</f>
        <v>6038</v>
      </c>
    </row>
    <row r="231" spans="1:3" x14ac:dyDescent="0.2">
      <c r="A231" t="str">
        <f>'All Epitope Lists'!$P232</f>
        <v>B5801_Rev_KY10</v>
      </c>
      <c r="B231">
        <f>'All Epitope Lists'!$K232</f>
        <v>6009</v>
      </c>
      <c r="C231">
        <f>'All Epitope Lists'!$L232</f>
        <v>6038</v>
      </c>
    </row>
    <row r="232" spans="1:3" x14ac:dyDescent="0.2">
      <c r="A232" t="str">
        <f>'All Epitope Lists'!$P233</f>
        <v>B63_Rev_KY10</v>
      </c>
      <c r="B232">
        <f>'All Epitope Lists'!$K233</f>
        <v>6009</v>
      </c>
      <c r="C232">
        <f>'All Epitope Lists'!$L233</f>
        <v>6038</v>
      </c>
    </row>
    <row r="233" spans="1:3" x14ac:dyDescent="0.2">
      <c r="A233" t="str">
        <f>'All Epitope Lists'!$P234</f>
        <v>Cw18_Vpu_YI9</v>
      </c>
      <c r="B233">
        <f>'All Epitope Lists'!$K234</f>
        <v>6074</v>
      </c>
      <c r="C233">
        <f>'All Epitope Lists'!$L234</f>
        <v>6100</v>
      </c>
    </row>
    <row r="234" spans="1:3" x14ac:dyDescent="0.2">
      <c r="A234" t="str">
        <f>'All Epitope Lists'!$P235</f>
        <v>A3303_Vpu_ER9</v>
      </c>
      <c r="B234">
        <f>'All Epitope Lists'!$K235</f>
        <v>6146</v>
      </c>
      <c r="C234">
        <f>'All Epitope Lists'!$L235</f>
        <v>6172</v>
      </c>
    </row>
    <row r="235" spans="1:3" x14ac:dyDescent="0.2">
      <c r="A235" t="str">
        <f>'All Epitope Lists'!$P236</f>
        <v>B0801_gp160_RL9</v>
      </c>
      <c r="B235">
        <f>'All Epitope Lists'!$K236</f>
        <v>6228</v>
      </c>
      <c r="C235">
        <f>'All Epitope Lists'!$L236</f>
        <v>6254</v>
      </c>
    </row>
    <row r="236" spans="1:3" x14ac:dyDescent="0.2">
      <c r="A236" t="str">
        <f>'All Epitope Lists'!$P237</f>
        <v>B1801_gp160_AY9</v>
      </c>
      <c r="B236">
        <f>'All Epitope Lists'!$K237</f>
        <v>6315</v>
      </c>
      <c r="C236">
        <f>'All Epitope Lists'!$L237</f>
        <v>6341</v>
      </c>
    </row>
    <row r="237" spans="1:3" x14ac:dyDescent="0.2">
      <c r="A237" t="str">
        <f>'All Epitope Lists'!$P238</f>
        <v>B44_gp160_AY9</v>
      </c>
      <c r="B237">
        <f>'All Epitope Lists'!$K238</f>
        <v>6315</v>
      </c>
      <c r="C237">
        <f>'All Epitope Lists'!$L238</f>
        <v>6341</v>
      </c>
    </row>
    <row r="238" spans="1:3" x14ac:dyDescent="0.2">
      <c r="A238" t="str">
        <f>'All Epitope Lists'!$P239</f>
        <v>B4402_gp160_AY10</v>
      </c>
      <c r="B238">
        <f>'All Epitope Lists'!$K239</f>
        <v>6315</v>
      </c>
      <c r="C238">
        <f>'All Epitope Lists'!$L239</f>
        <v>6344</v>
      </c>
    </row>
    <row r="239" spans="1:3" x14ac:dyDescent="0.2">
      <c r="A239" t="str">
        <f>'All Epitope Lists'!$P240</f>
        <v>A0301_gp160_TK10</v>
      </c>
      <c r="B239">
        <f>'All Epitope Lists'!$K240</f>
        <v>6333</v>
      </c>
      <c r="C239">
        <f>'All Epitope Lists'!$L240</f>
        <v>6362</v>
      </c>
    </row>
    <row r="240" spans="1:3" x14ac:dyDescent="0.2">
      <c r="A240" t="str">
        <f>'All Epitope Lists'!$P241</f>
        <v>B5501_gp160_VT10</v>
      </c>
      <c r="B240">
        <f>'All Epitope Lists'!$K241</f>
        <v>6348</v>
      </c>
      <c r="C240">
        <f>'All Epitope Lists'!$L241</f>
        <v>6377</v>
      </c>
    </row>
    <row r="241" spans="1:3" x14ac:dyDescent="0.2">
      <c r="A241" t="str">
        <f>'All Epitope Lists'!$P242</f>
        <v>B3501_gp160_VL11</v>
      </c>
      <c r="B241">
        <f>'All Epitope Lists'!$K242</f>
        <v>6348</v>
      </c>
      <c r="C241">
        <f>'All Epitope Lists'!$L242</f>
        <v>6380</v>
      </c>
    </row>
    <row r="242" spans="1:3" x14ac:dyDescent="0.2">
      <c r="A242" t="str">
        <f>'All Epitope Lists'!$P243</f>
        <v>A2402_gp160_LY10</v>
      </c>
      <c r="B242">
        <f>'All Epitope Lists'!$K243</f>
        <v>6378</v>
      </c>
      <c r="C242">
        <f>'All Epitope Lists'!$L243</f>
        <v>6407</v>
      </c>
    </row>
    <row r="243" spans="1:3" x14ac:dyDescent="0.2">
      <c r="A243" t="str">
        <f>'All Epitope Lists'!$P244</f>
        <v>B58_gp160_KW11</v>
      </c>
      <c r="B243">
        <f>'All Epitope Lists'!$K244</f>
        <v>6399</v>
      </c>
      <c r="C243">
        <f>'All Epitope Lists'!$L244</f>
        <v>6431</v>
      </c>
    </row>
    <row r="244" spans="1:3" x14ac:dyDescent="0.2">
      <c r="A244" t="str">
        <f>'All Epitope Lists'!$P245</f>
        <v>B1801_gp160_YW9</v>
      </c>
      <c r="B244">
        <f>'All Epitope Lists'!$K245</f>
        <v>6405</v>
      </c>
      <c r="C244">
        <f>'All Epitope Lists'!$L245</f>
        <v>6431</v>
      </c>
    </row>
    <row r="245" spans="1:3" x14ac:dyDescent="0.2">
      <c r="A245" t="str">
        <f>'All Epitope Lists'!$P246</f>
        <v>B3501_gp160_DL9</v>
      </c>
      <c r="B245">
        <f>'All Epitope Lists'!$K246</f>
        <v>6456</v>
      </c>
      <c r="C245">
        <f>'All Epitope Lists'!$L246</f>
        <v>6482</v>
      </c>
    </row>
    <row r="246" spans="1:3" x14ac:dyDescent="0.2">
      <c r="A246" t="str">
        <f>'All Epitope Lists'!$P247</f>
        <v>B3801_gp160_MW9</v>
      </c>
      <c r="B246">
        <f>'All Epitope Lists'!$K247</f>
        <v>6534</v>
      </c>
      <c r="C246">
        <f>'All Epitope Lists'!$L247</f>
        <v>6560</v>
      </c>
    </row>
    <row r="247" spans="1:3" x14ac:dyDescent="0.2">
      <c r="A247" t="str">
        <f>'All Epitope Lists'!$P248</f>
        <v>A0201_gp160_KL9</v>
      </c>
      <c r="B247">
        <f>'All Epitope Lists'!$K248</f>
        <v>6585</v>
      </c>
      <c r="C247">
        <f>'All Epitope Lists'!$L248</f>
        <v>6611</v>
      </c>
    </row>
    <row r="248" spans="1:3" x14ac:dyDescent="0.2">
      <c r="A248" t="str">
        <f>'All Epitope Lists'!$P249</f>
        <v>A1101_gp160_SK9</v>
      </c>
      <c r="B248">
        <f>'All Epitope Lists'!$K249</f>
        <v>6819</v>
      </c>
      <c r="C248">
        <f>'All Epitope Lists'!$L249</f>
        <v>6845</v>
      </c>
    </row>
    <row r="249" spans="1:3" x14ac:dyDescent="0.2">
      <c r="A249" t="str">
        <f>'All Epitope Lists'!$P250</f>
        <v>A2902_gp160_SY9</v>
      </c>
      <c r="B249">
        <f>'All Epitope Lists'!$K250</f>
        <v>6849</v>
      </c>
      <c r="C249">
        <f>'All Epitope Lists'!$L250</f>
        <v>6875</v>
      </c>
    </row>
    <row r="250" spans="1:3" x14ac:dyDescent="0.2">
      <c r="A250" t="str">
        <f>'All Epitope Lists'!$P251</f>
        <v>Cw1_gp160_CL9</v>
      </c>
      <c r="B250">
        <f>'All Epitope Lists'!$K251</f>
        <v>6876</v>
      </c>
      <c r="C250">
        <f>'All Epitope Lists'!$L251</f>
        <v>6902</v>
      </c>
    </row>
    <row r="251" spans="1:3" x14ac:dyDescent="0.2">
      <c r="A251" t="str">
        <f>'All Epitope Lists'!$P252</f>
        <v>B0702_gp160_RI10</v>
      </c>
      <c r="B251">
        <f>'All Epitope Lists'!$K252</f>
        <v>7116</v>
      </c>
      <c r="C251">
        <f>'All Epitope Lists'!$L252</f>
        <v>7145</v>
      </c>
    </row>
    <row r="252" spans="1:3" x14ac:dyDescent="0.2">
      <c r="A252" t="str">
        <f>'All Epitope Lists'!$P253</f>
        <v>A3002_gp160_HY9</v>
      </c>
      <c r="B252">
        <f>'All Epitope Lists'!$K253</f>
        <v>7152</v>
      </c>
      <c r="C252">
        <f>'All Epitope Lists'!$L253</f>
        <v>7178</v>
      </c>
    </row>
    <row r="253" spans="1:3" x14ac:dyDescent="0.2">
      <c r="A253" t="str">
        <f>'All Epitope Lists'!$P254</f>
        <v>A0201_Env_RI10</v>
      </c>
      <c r="B253">
        <f>'All Epitope Lists'!$K254</f>
        <v>7155</v>
      </c>
      <c r="C253">
        <f>'All Epitope Lists'!$L254</f>
        <v>7184</v>
      </c>
    </row>
    <row r="254" spans="1:3" x14ac:dyDescent="0.2">
      <c r="A254" t="str">
        <f>'All Epitope Lists'!$P255</f>
        <v>A2501_gp160_EY10</v>
      </c>
      <c r="B254">
        <f>'All Epitope Lists'!$K255</f>
        <v>7185</v>
      </c>
      <c r="C254">
        <f>'All Epitope Lists'!$L255</f>
        <v>7214</v>
      </c>
    </row>
    <row r="255" spans="1:3" x14ac:dyDescent="0.2">
      <c r="A255" t="str">
        <f>'All Epitope Lists'!$P256</f>
        <v>B1516_gp160_SF9</v>
      </c>
      <c r="B255">
        <f>'All Epitope Lists'!$K256</f>
        <v>7347</v>
      </c>
      <c r="C255">
        <f>'All Epitope Lists'!$L256</f>
        <v>7373</v>
      </c>
    </row>
    <row r="256" spans="1:3" x14ac:dyDescent="0.2">
      <c r="A256" t="str">
        <f>'All Epitope Lists'!$P257</f>
        <v>Cw0401_gp160_SF9</v>
      </c>
      <c r="B256">
        <f>'All Epitope Lists'!$K257</f>
        <v>7347</v>
      </c>
      <c r="C256">
        <f>'All Epitope Lists'!$L257</f>
        <v>7373</v>
      </c>
    </row>
    <row r="257" spans="1:3" x14ac:dyDescent="0.2">
      <c r="A257" t="str">
        <f>'All Epitope Lists'!$P258</f>
        <v>A29_gp160_SY10</v>
      </c>
      <c r="B257">
        <f>'All Epitope Lists'!$K258</f>
        <v>7347</v>
      </c>
      <c r="C257">
        <f>'All Epitope Lists'!$L258</f>
        <v>7376</v>
      </c>
    </row>
    <row r="258" spans="1:3" x14ac:dyDescent="0.2">
      <c r="A258" t="str">
        <f>'All Epitope Lists'!$P259</f>
        <v>A29_gp160_FY9</v>
      </c>
      <c r="B258">
        <f>'All Epitope Lists'!$K259</f>
        <v>7350</v>
      </c>
      <c r="C258">
        <f>'All Epitope Lists'!$L259</f>
        <v>7376</v>
      </c>
    </row>
    <row r="259" spans="1:3" x14ac:dyDescent="0.2">
      <c r="A259" t="str">
        <f>'All Epitope Lists'!$P260</f>
        <v>B5101_gp160_LI9</v>
      </c>
      <c r="B259">
        <f>'All Epitope Lists'!$K260</f>
        <v>7470</v>
      </c>
      <c r="C259">
        <f>'All Epitope Lists'!$L260</f>
        <v>7496</v>
      </c>
    </row>
    <row r="260" spans="1:3" x14ac:dyDescent="0.2">
      <c r="A260" t="str">
        <f>'All Epitope Lists'!$P261</f>
        <v>A3201_gp160_RW9</v>
      </c>
      <c r="B260">
        <f>'All Epitope Lists'!$K261</f>
        <v>7479</v>
      </c>
      <c r="C260">
        <f>'All Epitope Lists'!$L261</f>
        <v>7505</v>
      </c>
    </row>
    <row r="261" spans="1:3" x14ac:dyDescent="0.2">
      <c r="A261" t="str">
        <f>'All Epitope Lists'!$P262</f>
        <v>B51_gp160_RL9</v>
      </c>
      <c r="B261">
        <f>'All Epitope Lists'!$K262</f>
        <v>7893</v>
      </c>
      <c r="C261">
        <f>'All Epitope Lists'!$L262</f>
        <v>7919</v>
      </c>
    </row>
    <row r="262" spans="1:3" x14ac:dyDescent="0.2">
      <c r="A262" t="str">
        <f>'All Epitope Lists'!$P263</f>
        <v>Cw0304_gp160_RL9</v>
      </c>
      <c r="B262">
        <f>'All Epitope Lists'!$K263</f>
        <v>7893</v>
      </c>
      <c r="C262">
        <f>'All Epitope Lists'!$L263</f>
        <v>7919</v>
      </c>
    </row>
    <row r="263" spans="1:3" x14ac:dyDescent="0.2">
      <c r="A263" t="str">
        <f>'All Epitope Lists'!$P264</f>
        <v>Cw15_gp160_RL9</v>
      </c>
      <c r="B263">
        <f>'All Epitope Lists'!$K264</f>
        <v>7893</v>
      </c>
      <c r="C263">
        <f>'All Epitope Lists'!$L264</f>
        <v>7919</v>
      </c>
    </row>
    <row r="264" spans="1:3" x14ac:dyDescent="0.2">
      <c r="A264" t="str">
        <f>'All Epitope Lists'!$P265</f>
        <v>Cw8_gp160_RM9</v>
      </c>
      <c r="B264">
        <f>'All Epitope Lists'!$K265</f>
        <v>7893</v>
      </c>
      <c r="C264">
        <f>'All Epitope Lists'!$L265</f>
        <v>7919</v>
      </c>
    </row>
    <row r="265" spans="1:3" x14ac:dyDescent="0.2">
      <c r="A265" t="str">
        <f>'All Epitope Lists'!$P266</f>
        <v>B5802_gp160_QL11</v>
      </c>
      <c r="B265">
        <f>'All Epitope Lists'!$K266</f>
        <v>7953</v>
      </c>
      <c r="C265">
        <f>'All Epitope Lists'!$L266</f>
        <v>7985</v>
      </c>
    </row>
    <row r="266" spans="1:3" x14ac:dyDescent="0.2">
      <c r="A266" t="str">
        <f>'All Epitope Lists'!$P267</f>
        <v>B1402_gp160_EL9</v>
      </c>
      <c r="B266">
        <f>'All Epitope Lists'!$K267</f>
        <v>7974</v>
      </c>
      <c r="C266">
        <f>'All Epitope Lists'!$L267</f>
        <v>8000</v>
      </c>
    </row>
    <row r="267" spans="1:3" x14ac:dyDescent="0.2">
      <c r="A267" t="str">
        <f>'All Epitope Lists'!$P268</f>
        <v>A23_gp160_RL9</v>
      </c>
      <c r="B267">
        <f>'All Epitope Lists'!$K268</f>
        <v>7977</v>
      </c>
      <c r="C267">
        <f>'All Epitope Lists'!$L268</f>
        <v>8003</v>
      </c>
    </row>
    <row r="268" spans="1:3" x14ac:dyDescent="0.2">
      <c r="A268" t="str">
        <f>'All Epitope Lists'!$P269</f>
        <v>A2402_gp160_RL9</v>
      </c>
      <c r="B268">
        <f>'All Epitope Lists'!$K269</f>
        <v>7977</v>
      </c>
      <c r="C268">
        <f>'All Epitope Lists'!$L269</f>
        <v>8003</v>
      </c>
    </row>
    <row r="269" spans="1:3" x14ac:dyDescent="0.2">
      <c r="A269" t="str">
        <f>'All Epitope Lists'!$P270</f>
        <v>B0801_gp160_YL8</v>
      </c>
      <c r="B269">
        <f>'All Epitope Lists'!$K270</f>
        <v>7980</v>
      </c>
      <c r="C269">
        <f>'All Epitope Lists'!$L270</f>
        <v>8003</v>
      </c>
    </row>
    <row r="270" spans="1:3" x14ac:dyDescent="0.2">
      <c r="A270" t="str">
        <f>'All Epitope Lists'!$P271</f>
        <v>B3501_gp160_TW9</v>
      </c>
      <c r="B270">
        <f>'All Epitope Lists'!$K271</f>
        <v>8040</v>
      </c>
      <c r="C270">
        <f>'All Epitope Lists'!$L271</f>
        <v>8066</v>
      </c>
    </row>
    <row r="271" spans="1:3" x14ac:dyDescent="0.2">
      <c r="A271" t="str">
        <f>'All Epitope Lists'!$P272</f>
        <v>A3303_gp160_VR10</v>
      </c>
      <c r="B271">
        <f>'All Epitope Lists'!$K272</f>
        <v>8316</v>
      </c>
      <c r="C271">
        <f>'All Epitope Lists'!$L272</f>
        <v>8345</v>
      </c>
    </row>
    <row r="272" spans="1:3" x14ac:dyDescent="0.2">
      <c r="A272" t="str">
        <f>'All Epitope Lists'!$P273</f>
        <v>A3002_gp160_IY9</v>
      </c>
      <c r="B272">
        <f>'All Epitope Lists'!$K273</f>
        <v>8334</v>
      </c>
      <c r="C272">
        <f>'All Epitope Lists'!$L273</f>
        <v>8360</v>
      </c>
    </row>
    <row r="273" spans="1:3" x14ac:dyDescent="0.2">
      <c r="A273" t="str">
        <f>'All Epitope Lists'!$P274</f>
        <v>A0101_Rev_IY9</v>
      </c>
      <c r="B273">
        <f>'All Epitope Lists'!$K274</f>
        <v>8465</v>
      </c>
      <c r="C273">
        <f>'All Epitope Lists'!$L274</f>
        <v>8491</v>
      </c>
    </row>
    <row r="274" spans="1:3" x14ac:dyDescent="0.2">
      <c r="A274" t="str">
        <f>'All Epitope Lists'!$P275</f>
        <v>A0301_Rev_ER10</v>
      </c>
      <c r="B274">
        <f>'All Epitope Lists'!$K275</f>
        <v>8471</v>
      </c>
      <c r="C274">
        <f>'All Epitope Lists'!$L275</f>
        <v>8500</v>
      </c>
    </row>
    <row r="275" spans="1:3" x14ac:dyDescent="0.2">
      <c r="A275" t="str">
        <f>'All Epitope Lists'!$P276</f>
        <v>B7_Rev_RL10</v>
      </c>
      <c r="B275">
        <f>'All Epitope Lists'!$K276</f>
        <v>8498</v>
      </c>
      <c r="C275">
        <f>'All Epitope Lists'!$L276</f>
        <v>8527</v>
      </c>
    </row>
    <row r="276" spans="1:3" x14ac:dyDescent="0.2">
      <c r="A276" t="str">
        <f>'All Epitope Lists'!$P277</f>
        <v>B14_Rev_SL9</v>
      </c>
      <c r="B276">
        <f>'All Epitope Lists'!$K277</f>
        <v>8501</v>
      </c>
      <c r="C276">
        <f>'All Epitope Lists'!$L277</f>
        <v>8527</v>
      </c>
    </row>
    <row r="277" spans="1:3" x14ac:dyDescent="0.2">
      <c r="A277" t="str">
        <f>'All Epitope Lists'!$P278</f>
        <v>Cw0501_Rev_SL9</v>
      </c>
      <c r="B277">
        <f>'All Epitope Lists'!$K278</f>
        <v>8501</v>
      </c>
      <c r="C277">
        <f>'All Epitope Lists'!$L278</f>
        <v>8527</v>
      </c>
    </row>
    <row r="278" spans="1:3" x14ac:dyDescent="0.2">
      <c r="A278" t="str">
        <f>'All Epitope Lists'!$P279</f>
        <v>A23_gp160_LY9</v>
      </c>
      <c r="B278">
        <f>'All Epitope Lists'!$K279</f>
        <v>8502</v>
      </c>
      <c r="C278">
        <f>'All Epitope Lists'!$L279</f>
        <v>8528</v>
      </c>
    </row>
    <row r="279" spans="1:3" x14ac:dyDescent="0.2">
      <c r="A279" t="str">
        <f>'All Epitope Lists'!$P280</f>
        <v>A0301_gp160_RR11</v>
      </c>
      <c r="B279">
        <f>'All Epitope Lists'!$K280</f>
        <v>8532</v>
      </c>
      <c r="C279">
        <f>'All Epitope Lists'!$L280</f>
        <v>8564</v>
      </c>
    </row>
    <row r="280" spans="1:3" x14ac:dyDescent="0.2">
      <c r="A280" t="str">
        <f>'All Epitope Lists'!$P281</f>
        <v>A3101_gp160_RR11</v>
      </c>
      <c r="B280">
        <f>'All Epitope Lists'!$K281</f>
        <v>8532</v>
      </c>
      <c r="C280">
        <f>'All Epitope Lists'!$L281</f>
        <v>8564</v>
      </c>
    </row>
    <row r="281" spans="1:3" x14ac:dyDescent="0.2">
      <c r="A281" t="str">
        <f>'All Epitope Lists'!$P282</f>
        <v>A6802_gp160_IL9</v>
      </c>
      <c r="B281">
        <f>'All Epitope Lists'!$K282</f>
        <v>8553</v>
      </c>
      <c r="C281">
        <f>'All Epitope Lists'!$L282</f>
        <v>8579</v>
      </c>
    </row>
    <row r="282" spans="1:3" x14ac:dyDescent="0.2">
      <c r="A282" t="str">
        <f>'All Epitope Lists'!$P283</f>
        <v>B2705_gp160_GY10</v>
      </c>
      <c r="B282">
        <f>'All Epitope Lists'!$K283</f>
        <v>8580</v>
      </c>
      <c r="C282">
        <f>'All Epitope Lists'!$L283</f>
        <v>8609</v>
      </c>
    </row>
    <row r="283" spans="1:3" x14ac:dyDescent="0.2">
      <c r="A283" t="str">
        <f>'All Epitope Lists'!$P284</f>
        <v>A0101_gp160_RY9</v>
      </c>
      <c r="B283">
        <f>'All Epitope Lists'!$K284</f>
        <v>8583</v>
      </c>
      <c r="C283">
        <f>'All Epitope Lists'!$L284</f>
        <v>8609</v>
      </c>
    </row>
    <row r="284" spans="1:3" x14ac:dyDescent="0.2">
      <c r="A284" t="str">
        <f>'All Epitope Lists'!$P285</f>
        <v>A3002_gp160_KY9</v>
      </c>
      <c r="B284">
        <f>'All Epitope Lists'!$K285</f>
        <v>8604</v>
      </c>
      <c r="C284">
        <f>'All Epitope Lists'!$L285</f>
        <v>8630</v>
      </c>
    </row>
    <row r="285" spans="1:3" x14ac:dyDescent="0.2">
      <c r="A285" t="str">
        <f>'All Epitope Lists'!$P286</f>
        <v>B4001_gp160_QL10</v>
      </c>
      <c r="B285">
        <f>'All Epitope Lists'!$K286</f>
        <v>8637</v>
      </c>
      <c r="C285">
        <f>'All Epitope Lists'!$L286</f>
        <v>8666</v>
      </c>
    </row>
    <row r="286" spans="1:3" x14ac:dyDescent="0.2">
      <c r="A286" t="str">
        <f>'All Epitope Lists'!$P287</f>
        <v>A0201_gp160_SV10</v>
      </c>
      <c r="B286">
        <f>'All Epitope Lists'!$K287</f>
        <v>8661</v>
      </c>
      <c r="C286">
        <f>'All Epitope Lists'!$L287</f>
        <v>8690</v>
      </c>
    </row>
    <row r="287" spans="1:3" x14ac:dyDescent="0.2">
      <c r="A287" t="str">
        <f>'All Epitope Lists'!$P288</f>
        <v>A0201_gp160_LV9</v>
      </c>
      <c r="B287">
        <f>'All Epitope Lists'!$K288</f>
        <v>8664</v>
      </c>
      <c r="C287">
        <f>'All Epitope Lists'!$L288</f>
        <v>8690</v>
      </c>
    </row>
    <row r="288" spans="1:3" x14ac:dyDescent="0.2">
      <c r="A288" t="str">
        <f>'All Epitope Lists'!$P289</f>
        <v>A3303_gp160_ER8</v>
      </c>
      <c r="B288">
        <f>'All Epitope Lists'!$K289</f>
        <v>8715</v>
      </c>
      <c r="C288">
        <f>'All Epitope Lists'!$L289</f>
        <v>8738</v>
      </c>
    </row>
    <row r="289" spans="1:3" x14ac:dyDescent="0.2">
      <c r="A289" t="str">
        <f>'All Epitope Lists'!$P290</f>
        <v>B0702_gp160_IL9</v>
      </c>
      <c r="B289">
        <f>'All Epitope Lists'!$K290</f>
        <v>8751</v>
      </c>
      <c r="C289">
        <f>'All Epitope Lists'!$L290</f>
        <v>8777</v>
      </c>
    </row>
    <row r="290" spans="1:3" x14ac:dyDescent="0.2">
      <c r="A290" t="str">
        <f>'All Epitope Lists'!$P291</f>
        <v>A0205_gp160_RA9</v>
      </c>
      <c r="B290">
        <f>'All Epitope Lists'!$K291</f>
        <v>8760</v>
      </c>
      <c r="C290">
        <f>'All Epitope Lists'!$L291</f>
        <v>8786</v>
      </c>
    </row>
    <row r="291" spans="1:3" x14ac:dyDescent="0.2">
      <c r="A291" t="str">
        <f>'All Epitope Lists'!$P292</f>
        <v>B8_gp160_RL9</v>
      </c>
      <c r="B291">
        <f>'All Epitope Lists'!$K292</f>
        <v>8766</v>
      </c>
      <c r="C291">
        <f>'All Epitope Lists'!$L292</f>
        <v>8792</v>
      </c>
    </row>
    <row r="292" spans="1:3" x14ac:dyDescent="0.2">
      <c r="A292" t="str">
        <f>'All Epitope Lists'!$P293</f>
        <v>B0801_Nef_WM8</v>
      </c>
      <c r="B292">
        <f>'All Epitope Lists'!$K293</f>
        <v>8833</v>
      </c>
      <c r="C292">
        <f>'All Epitope Lists'!$L293</f>
        <v>8856</v>
      </c>
    </row>
    <row r="293" spans="1:3" x14ac:dyDescent="0.2">
      <c r="A293" t="str">
        <f>'All Epitope Lists'!$P294</f>
        <v>B15_Nef_RA9</v>
      </c>
      <c r="B293">
        <f>'All Epitope Lists'!$K294</f>
        <v>8851</v>
      </c>
      <c r="C293">
        <f>'All Epitope Lists'!$L294</f>
        <v>8877</v>
      </c>
    </row>
    <row r="294" spans="1:3" x14ac:dyDescent="0.2">
      <c r="A294" t="str">
        <f>'All Epitope Lists'!$P295</f>
        <v>B62_Nef_RA9</v>
      </c>
      <c r="B294">
        <f>'All Epitope Lists'!$K295</f>
        <v>8851</v>
      </c>
      <c r="C294">
        <f>'All Epitope Lists'!$L295</f>
        <v>8877</v>
      </c>
    </row>
    <row r="295" spans="1:3" x14ac:dyDescent="0.2">
      <c r="A295" t="str">
        <f>'All Epitope Lists'!$P296</f>
        <v>B4001_Nef_LS9</v>
      </c>
      <c r="B295">
        <f>'All Epitope Lists'!$K296</f>
        <v>8905</v>
      </c>
      <c r="C295">
        <f>'All Epitope Lists'!$L296</f>
        <v>8931</v>
      </c>
    </row>
    <row r="296" spans="1:3" x14ac:dyDescent="0.2">
      <c r="A296" t="str">
        <f>'All Epitope Lists'!$P297</f>
        <v>B50_Nef_LS9</v>
      </c>
      <c r="B296">
        <f>'All Epitope Lists'!$K297</f>
        <v>8905</v>
      </c>
      <c r="C296">
        <f>'All Epitope Lists'!$L297</f>
        <v>8931</v>
      </c>
    </row>
    <row r="297" spans="1:3" x14ac:dyDescent="0.2">
      <c r="A297" t="str">
        <f>'All Epitope Lists'!$P298</f>
        <v>B0702_Nef_FL9</v>
      </c>
      <c r="B297">
        <f>'All Epitope Lists'!$K298</f>
        <v>8998</v>
      </c>
      <c r="C297">
        <f>'All Epitope Lists'!$L298</f>
        <v>9024</v>
      </c>
    </row>
    <row r="298" spans="1:3" x14ac:dyDescent="0.2">
      <c r="A298" t="str">
        <f>'All Epitope Lists'!$P299</f>
        <v>B0702_Nef_FR10</v>
      </c>
      <c r="B298">
        <f>'All Epitope Lists'!$K299</f>
        <v>8998</v>
      </c>
      <c r="C298">
        <f>'All Epitope Lists'!$L299</f>
        <v>9027</v>
      </c>
    </row>
    <row r="299" spans="1:3" x14ac:dyDescent="0.2">
      <c r="A299" t="str">
        <f>'All Epitope Lists'!$P300</f>
        <v>B0702_Nef_TM9</v>
      </c>
      <c r="B299">
        <f>'All Epitope Lists'!$K300</f>
        <v>9007</v>
      </c>
      <c r="C299">
        <f>'All Epitope Lists'!$L300</f>
        <v>9033</v>
      </c>
    </row>
    <row r="300" spans="1:3" x14ac:dyDescent="0.2">
      <c r="A300" t="str">
        <f>'All Epitope Lists'!$P301</f>
        <v>B4201_Nef_RM9</v>
      </c>
      <c r="B300">
        <f>'All Epitope Lists'!$K301</f>
        <v>9007</v>
      </c>
      <c r="C300">
        <f>'All Epitope Lists'!$L301</f>
        <v>9033</v>
      </c>
    </row>
    <row r="301" spans="1:3" x14ac:dyDescent="0.2">
      <c r="A301" t="str">
        <f>'All Epitope Lists'!$P302</f>
        <v>B35_Nef_RY11</v>
      </c>
      <c r="B301">
        <f>'All Epitope Lists'!$K302</f>
        <v>9007</v>
      </c>
      <c r="C301">
        <f>'All Epitope Lists'!$L302</f>
        <v>9039</v>
      </c>
    </row>
    <row r="302" spans="1:3" x14ac:dyDescent="0.2">
      <c r="A302" t="str">
        <f>'All Epitope Lists'!$P303</f>
        <v>A0301_Nef_QK10</v>
      </c>
      <c r="B302">
        <f>'All Epitope Lists'!$K303</f>
        <v>9013</v>
      </c>
      <c r="C302">
        <f>'All Epitope Lists'!$L303</f>
        <v>9042</v>
      </c>
    </row>
    <row r="303" spans="1:3" x14ac:dyDescent="0.2">
      <c r="A303" t="str">
        <f>'All Epitope Lists'!$P304</f>
        <v>A1101_Nef_QK10</v>
      </c>
      <c r="B303">
        <f>'All Epitope Lists'!$K304</f>
        <v>9013</v>
      </c>
      <c r="C303">
        <f>'All Epitope Lists'!$L304</f>
        <v>9042</v>
      </c>
    </row>
    <row r="304" spans="1:3" x14ac:dyDescent="0.2">
      <c r="A304" t="str">
        <f>'All Epitope Lists'!$P305</f>
        <v>B3501_Nef_VY8</v>
      </c>
      <c r="B304">
        <f>'All Epitope Lists'!$K305</f>
        <v>9016</v>
      </c>
      <c r="C304">
        <f>'All Epitope Lists'!$L305</f>
        <v>9039</v>
      </c>
    </row>
    <row r="305" spans="1:3" x14ac:dyDescent="0.2">
      <c r="A305" t="str">
        <f>'All Epitope Lists'!$P306</f>
        <v>A1101_Nef_PK8</v>
      </c>
      <c r="B305">
        <f>'All Epitope Lists'!$K306</f>
        <v>9019</v>
      </c>
      <c r="C305">
        <f>'All Epitope Lists'!$L306</f>
        <v>9042</v>
      </c>
    </row>
    <row r="306" spans="1:3" x14ac:dyDescent="0.2">
      <c r="A306" t="str">
        <f>'All Epitope Lists'!$P307</f>
        <v>B2703_Nef_LA9</v>
      </c>
      <c r="B306">
        <f>'All Epitope Lists'!$K307</f>
        <v>9022</v>
      </c>
      <c r="C306">
        <f>'All Epitope Lists'!$L307</f>
        <v>9048</v>
      </c>
    </row>
    <row r="307" spans="1:3" x14ac:dyDescent="0.2">
      <c r="A307" t="str">
        <f>'All Epitope Lists'!$P308</f>
        <v>B0702_Nef_RL9</v>
      </c>
      <c r="B307">
        <f>'All Epitope Lists'!$K308</f>
        <v>9025</v>
      </c>
      <c r="C307">
        <f>'All Epitope Lists'!$L308</f>
        <v>9051</v>
      </c>
    </row>
    <row r="308" spans="1:3" x14ac:dyDescent="0.2">
      <c r="A308" t="str">
        <f>'All Epitope Lists'!$P309</f>
        <v>B5703_Nef_KF9</v>
      </c>
      <c r="B308">
        <f>'All Epitope Lists'!$K309</f>
        <v>9040</v>
      </c>
      <c r="C308">
        <f>'All Epitope Lists'!$L309</f>
        <v>9066</v>
      </c>
    </row>
    <row r="309" spans="1:3" x14ac:dyDescent="0.2">
      <c r="A309" t="str">
        <f>'All Epitope Lists'!$P310</f>
        <v>B5801_Nef_KF9</v>
      </c>
      <c r="B309">
        <f>'All Epitope Lists'!$K310</f>
        <v>9040</v>
      </c>
      <c r="C309">
        <f>'All Epitope Lists'!$L310</f>
        <v>9066</v>
      </c>
    </row>
    <row r="310" spans="1:3" x14ac:dyDescent="0.2">
      <c r="A310" t="str">
        <f>'All Epitope Lists'!$P311</f>
        <v>Cw8_Nef_KL10</v>
      </c>
      <c r="B310">
        <f>'All Epitope Lists'!$K311</f>
        <v>9040</v>
      </c>
      <c r="C310">
        <f>'All Epitope Lists'!$L311</f>
        <v>9069</v>
      </c>
    </row>
    <row r="311" spans="1:3" x14ac:dyDescent="0.2">
      <c r="A311" t="str">
        <f>'All Epitope Lists'!$P312</f>
        <v>A0205_Nef_GL9</v>
      </c>
      <c r="B311">
        <f>'All Epitope Lists'!$K312</f>
        <v>9043</v>
      </c>
      <c r="C311">
        <f>'All Epitope Lists'!$L312</f>
        <v>9069</v>
      </c>
    </row>
    <row r="312" spans="1:3" x14ac:dyDescent="0.2">
      <c r="A312" t="e">
        <f>'All Epitope Lists'!#REF!</f>
        <v>#REF!</v>
      </c>
      <c r="B312" t="e">
        <f>'All Epitope Lists'!#REF!</f>
        <v>#REF!</v>
      </c>
      <c r="C312" t="e">
        <f>'All Epitope Lists'!#REF!</f>
        <v>#REF!</v>
      </c>
    </row>
    <row r="313" spans="1:3" x14ac:dyDescent="0.2">
      <c r="A313" t="str">
        <f>'All Epitope Lists'!$P313</f>
        <v>B5703_Nef_AL9</v>
      </c>
      <c r="B313">
        <f>'All Epitope Lists'!$K313</f>
        <v>9043</v>
      </c>
      <c r="C313">
        <f>'All Epitope Lists'!$L313</f>
        <v>9069</v>
      </c>
    </row>
    <row r="314" spans="1:3" x14ac:dyDescent="0.2">
      <c r="A314" t="str">
        <f>'All Epitope Lists'!$P314</f>
        <v>B58_Nef_AL9</v>
      </c>
      <c r="B314">
        <f>'All Epitope Lists'!$K314</f>
        <v>9043</v>
      </c>
      <c r="C314">
        <f>'All Epitope Lists'!$L314</f>
        <v>9069</v>
      </c>
    </row>
    <row r="315" spans="1:3" x14ac:dyDescent="0.2">
      <c r="A315" t="str">
        <f>'All Epitope Lists'!$P315</f>
        <v>Cw0802_Nef_AL9</v>
      </c>
      <c r="B315">
        <f>'All Epitope Lists'!$K315</f>
        <v>9043</v>
      </c>
      <c r="C315">
        <f>'All Epitope Lists'!$L315</f>
        <v>9069</v>
      </c>
    </row>
    <row r="316" spans="1:3" x14ac:dyDescent="0.2">
      <c r="A316" t="str">
        <f>'All Epitope Lists'!$P316</f>
        <v>Cw3_Nef_AL9</v>
      </c>
      <c r="B316">
        <f>'All Epitope Lists'!$K316</f>
        <v>9043</v>
      </c>
      <c r="C316">
        <f>'All Epitope Lists'!$L316</f>
        <v>9069</v>
      </c>
    </row>
    <row r="317" spans="1:3" x14ac:dyDescent="0.2">
      <c r="A317" t="str">
        <f>'All Epitope Lists'!$P317</f>
        <v>A0301_Nef_AK9</v>
      </c>
      <c r="B317">
        <f>'All Epitope Lists'!$K317</f>
        <v>9046</v>
      </c>
      <c r="C317">
        <f>'All Epitope Lists'!$L317</f>
        <v>9072</v>
      </c>
    </row>
    <row r="318" spans="1:3" x14ac:dyDescent="0.2">
      <c r="A318" t="str">
        <f>'All Epitope Lists'!$P318</f>
        <v>A1101_Nef_AK9</v>
      </c>
      <c r="B318">
        <f>'All Epitope Lists'!$K318</f>
        <v>9046</v>
      </c>
      <c r="C318">
        <f>'All Epitope Lists'!$L318</f>
        <v>9072</v>
      </c>
    </row>
    <row r="319" spans="1:3" x14ac:dyDescent="0.2">
      <c r="A319" t="str">
        <f>'All Epitope Lists'!$P319</f>
        <v>B0801_Nef_FL8</v>
      </c>
      <c r="B319">
        <f>'All Epitope Lists'!$K319</f>
        <v>9064</v>
      </c>
      <c r="C319">
        <f>'All Epitope Lists'!$L319</f>
        <v>9087</v>
      </c>
    </row>
    <row r="320" spans="1:3" x14ac:dyDescent="0.2">
      <c r="A320" t="str">
        <f>'All Epitope Lists'!$P320</f>
        <v>B4001_Nef_KL9</v>
      </c>
      <c r="B320">
        <f>'All Epitope Lists'!$K320</f>
        <v>9070</v>
      </c>
      <c r="C320">
        <f>'All Epitope Lists'!$L320</f>
        <v>9096</v>
      </c>
    </row>
    <row r="321" spans="1:3" x14ac:dyDescent="0.2">
      <c r="A321" t="str">
        <f>'All Epitope Lists'!$P321</f>
        <v>B4403_Nef_KY11</v>
      </c>
      <c r="B321">
        <f>'All Epitope Lists'!$K321</f>
        <v>9070</v>
      </c>
      <c r="C321">
        <f>'All Epitope Lists'!$L321</f>
        <v>9102</v>
      </c>
    </row>
    <row r="322" spans="1:3" x14ac:dyDescent="0.2">
      <c r="A322" t="str">
        <f>'All Epitope Lists'!$P322</f>
        <v>B2705_Nef_RI10</v>
      </c>
      <c r="B322">
        <f>'All Epitope Lists'!$K322</f>
        <v>9109</v>
      </c>
      <c r="C322">
        <f>'All Epitope Lists'!$L322</f>
        <v>9138</v>
      </c>
    </row>
    <row r="323" spans="1:3" x14ac:dyDescent="0.2">
      <c r="A323" t="str">
        <f>'All Epitope Lists'!$P323</f>
        <v>B18_Nef_RY11</v>
      </c>
      <c r="B323">
        <f>'All Epitope Lists'!$K323</f>
        <v>9109</v>
      </c>
      <c r="C323">
        <f>'All Epitope Lists'!$L323</f>
        <v>9141</v>
      </c>
    </row>
    <row r="324" spans="1:3" x14ac:dyDescent="0.2">
      <c r="A324" t="str">
        <f>'All Epitope Lists'!$P324</f>
        <v>Cw07_Nef_RY11</v>
      </c>
      <c r="B324">
        <f>'All Epitope Lists'!$K324</f>
        <v>9109</v>
      </c>
      <c r="C324">
        <f>'All Epitope Lists'!$L324</f>
        <v>9141</v>
      </c>
    </row>
    <row r="325" spans="1:3" x14ac:dyDescent="0.2">
      <c r="A325" t="str">
        <f>'All Epitope Lists'!$P325</f>
        <v>B13_Nef_RI9</v>
      </c>
      <c r="B325">
        <f>'All Epitope Lists'!$K325</f>
        <v>9112</v>
      </c>
      <c r="C325">
        <f>'All Epitope Lists'!$L325</f>
        <v>9138</v>
      </c>
    </row>
    <row r="326" spans="1:3" x14ac:dyDescent="0.2">
      <c r="A326" t="str">
        <f>'All Epitope Lists'!$P326</f>
        <v>B1302_Nef_RV9</v>
      </c>
      <c r="B326">
        <f>'All Epitope Lists'!$K326</f>
        <v>9112</v>
      </c>
      <c r="C326">
        <f>'All Epitope Lists'!$L326</f>
        <v>9138</v>
      </c>
    </row>
    <row r="327" spans="1:3" x14ac:dyDescent="0.2">
      <c r="A327" t="str">
        <f>'All Epitope Lists'!$P327</f>
        <v>B07_Nef_RY10</v>
      </c>
      <c r="B327">
        <f>'All Epitope Lists'!$K327</f>
        <v>9115</v>
      </c>
      <c r="C327">
        <f>'All Epitope Lists'!$L327</f>
        <v>9141</v>
      </c>
    </row>
    <row r="328" spans="1:3" x14ac:dyDescent="0.2">
      <c r="A328" t="str">
        <f>'All Epitope Lists'!$P328</f>
        <v>B4402_Nef_QY9</v>
      </c>
      <c r="B328">
        <f>'All Epitope Lists'!$K328</f>
        <v>9115</v>
      </c>
      <c r="C328">
        <f>'All Epitope Lists'!$L328</f>
        <v>9141</v>
      </c>
    </row>
    <row r="329" spans="1:3" x14ac:dyDescent="0.2">
      <c r="A329" t="str">
        <f>'All Epitope Lists'!$P329</f>
        <v>B5703_Nef_HW9</v>
      </c>
      <c r="B329">
        <f>'All Epitope Lists'!$K329</f>
        <v>9142</v>
      </c>
      <c r="C329">
        <f>'All Epitope Lists'!$L329</f>
        <v>9168</v>
      </c>
    </row>
    <row r="330" spans="1:3" x14ac:dyDescent="0.2">
      <c r="A330" t="str">
        <f>'All Epitope Lists'!$P330</f>
        <v>B5801_Nef_HW9</v>
      </c>
      <c r="B330">
        <f>'All Epitope Lists'!$K330</f>
        <v>9142</v>
      </c>
      <c r="C330">
        <f>'All Epitope Lists'!$L330</f>
        <v>9168</v>
      </c>
    </row>
    <row r="331" spans="1:3" x14ac:dyDescent="0.2">
      <c r="A331" t="str">
        <f>'All Epitope Lists'!$P331</f>
        <v>B57_Nef_HQ10</v>
      </c>
      <c r="B331">
        <f>'All Epitope Lists'!$K331</f>
        <v>9142</v>
      </c>
      <c r="C331">
        <f>'All Epitope Lists'!$L331</f>
        <v>9171</v>
      </c>
    </row>
    <row r="332" spans="1:3" x14ac:dyDescent="0.2">
      <c r="A332" t="str">
        <f>'All Epitope Lists'!$P332</f>
        <v>B1501_Nef_TY11</v>
      </c>
      <c r="B332">
        <f>'All Epitope Lists'!$K332</f>
        <v>9145</v>
      </c>
      <c r="C332">
        <f>'All Epitope Lists'!$L332</f>
        <v>9177</v>
      </c>
    </row>
    <row r="333" spans="1:3" x14ac:dyDescent="0.2">
      <c r="A333" t="str">
        <f>'All Epitope Lists'!$P333</f>
        <v>B58_Nef_GY9</v>
      </c>
      <c r="B333">
        <f>'All Epitope Lists'!$K333</f>
        <v>9151</v>
      </c>
      <c r="C333">
        <f>'All Epitope Lists'!$L333</f>
        <v>9177</v>
      </c>
    </row>
    <row r="334" spans="1:3" x14ac:dyDescent="0.2">
      <c r="A334" t="str">
        <f>'All Epitope Lists'!$P334</f>
        <v>C02_Nef_GY9</v>
      </c>
      <c r="B334">
        <f>'All Epitope Lists'!$K334</f>
        <v>9151</v>
      </c>
      <c r="C334">
        <f>'All Epitope Lists'!$L334</f>
        <v>9177</v>
      </c>
    </row>
    <row r="335" spans="1:3" x14ac:dyDescent="0.2">
      <c r="A335" t="str">
        <f>'All Epitope Lists'!$P336</f>
        <v>A29_Nef_YT9</v>
      </c>
      <c r="B335">
        <f>'All Epitope Lists'!$K336</f>
        <v>9154</v>
      </c>
      <c r="C335">
        <f>'All Epitope Lists'!$L336</f>
        <v>9180</v>
      </c>
    </row>
    <row r="336" spans="1:3" x14ac:dyDescent="0.2">
      <c r="A336" t="str">
        <f>'All Epitope Lists'!$P337</f>
        <v>B35_Nef_YT9</v>
      </c>
      <c r="B336">
        <f>'All Epitope Lists'!$K337</f>
        <v>9154</v>
      </c>
      <c r="C336">
        <f>'All Epitope Lists'!$L337</f>
        <v>9180</v>
      </c>
    </row>
    <row r="337" spans="1:3" x14ac:dyDescent="0.2">
      <c r="A337" t="str">
        <f>'All Epitope Lists'!$P338</f>
        <v>Cw6_Nef_YT9</v>
      </c>
      <c r="B337">
        <f>'All Epitope Lists'!$K338</f>
        <v>9154</v>
      </c>
      <c r="C337">
        <f>'All Epitope Lists'!$L338</f>
        <v>9180</v>
      </c>
    </row>
    <row r="338" spans="1:3" x14ac:dyDescent="0.2">
      <c r="A338" t="str">
        <f>'All Epitope Lists'!$P339</f>
        <v>B5401_Nef_FP9</v>
      </c>
      <c r="B338">
        <f>'All Epitope Lists'!$K339</f>
        <v>9157</v>
      </c>
      <c r="C338">
        <f>'All Epitope Lists'!$L339</f>
        <v>9183</v>
      </c>
    </row>
    <row r="339" spans="1:3" x14ac:dyDescent="0.2">
      <c r="A339" t="str">
        <f>'All Epitope Lists'!$P340</f>
        <v>A2402_Nef_NY10</v>
      </c>
      <c r="B339">
        <f>'All Epitope Lists'!$K340</f>
        <v>9172</v>
      </c>
      <c r="C339">
        <f>'All Epitope Lists'!$L340</f>
        <v>9201</v>
      </c>
    </row>
    <row r="340" spans="1:3" x14ac:dyDescent="0.2">
      <c r="A340" t="str">
        <f>'All Epitope Lists'!$P341</f>
        <v>B57_Nef_YY9</v>
      </c>
      <c r="B340">
        <f>'All Epitope Lists'!$K341</f>
        <v>9175</v>
      </c>
      <c r="C340">
        <f>'All Epitope Lists'!$L341</f>
        <v>9201</v>
      </c>
    </row>
    <row r="341" spans="1:3" x14ac:dyDescent="0.2">
      <c r="A341" t="str">
        <f>'All Epitope Lists'!$P342</f>
        <v>B63_Nef_YY9</v>
      </c>
      <c r="B341">
        <f>'All Epitope Lists'!$K342</f>
        <v>9175</v>
      </c>
      <c r="C341">
        <f>'All Epitope Lists'!$L342</f>
        <v>9201</v>
      </c>
    </row>
    <row r="342" spans="1:3" x14ac:dyDescent="0.2">
      <c r="A342" t="str">
        <f>'All Epitope Lists'!$P343</f>
        <v>B0702_Nef_TL10</v>
      </c>
      <c r="B342">
        <f>'All Epitope Lists'!$K343</f>
        <v>9178</v>
      </c>
      <c r="C342">
        <f>'All Epitope Lists'!$L343</f>
        <v>9207</v>
      </c>
    </row>
    <row r="343" spans="1:3" x14ac:dyDescent="0.2">
      <c r="A343" t="str">
        <f>'All Epitope Lists'!$P344</f>
        <v>B4201_Nef_TL10</v>
      </c>
      <c r="B343">
        <f>'All Epitope Lists'!$K344</f>
        <v>9178</v>
      </c>
      <c r="C343">
        <f>'All Epitope Lists'!$L344</f>
        <v>9207</v>
      </c>
    </row>
    <row r="344" spans="1:3" x14ac:dyDescent="0.2">
      <c r="A344" t="str">
        <f>'All Epitope Lists'!$P345</f>
        <v>A33_Nef_TW9</v>
      </c>
      <c r="B344">
        <f>'All Epitope Lists'!$K345</f>
        <v>9193</v>
      </c>
      <c r="C344">
        <f>'All Epitope Lists'!$L345</f>
        <v>9219</v>
      </c>
    </row>
    <row r="345" spans="1:3" x14ac:dyDescent="0.2">
      <c r="A345" t="str">
        <f>'All Epitope Lists'!$P346</f>
        <v>A2402_Nef_RW8</v>
      </c>
      <c r="B345">
        <f>'All Epitope Lists'!$K346</f>
        <v>9196</v>
      </c>
      <c r="C345">
        <f>'All Epitope Lists'!$L346</f>
        <v>9219</v>
      </c>
    </row>
    <row r="346" spans="1:3" x14ac:dyDescent="0.2">
      <c r="A346" t="str">
        <f>'All Epitope Lists'!$P347</f>
        <v>A2402_Nef_RY10</v>
      </c>
      <c r="B346">
        <f>'All Epitope Lists'!$K347</f>
        <v>9196</v>
      </c>
      <c r="C346">
        <f>'All Epitope Lists'!$L347</f>
        <v>9225</v>
      </c>
    </row>
    <row r="347" spans="1:3" x14ac:dyDescent="0.2">
      <c r="A347" t="str">
        <f>'All Epitope Lists'!$P348</f>
        <v>Cw07_Nef_RY10</v>
      </c>
      <c r="B347">
        <f>'All Epitope Lists'!$K348</f>
        <v>9196</v>
      </c>
      <c r="C347">
        <f>'All Epitope Lists'!$L348</f>
        <v>9225</v>
      </c>
    </row>
    <row r="348" spans="1:3" x14ac:dyDescent="0.2">
      <c r="A348" t="str">
        <f>'All Epitope Lists'!$P349</f>
        <v>B1801_Nef_YY9</v>
      </c>
      <c r="B348">
        <f>'All Epitope Lists'!$K349</f>
        <v>9199</v>
      </c>
      <c r="C348">
        <f>'All Epitope Lists'!$L349</f>
        <v>9225</v>
      </c>
    </row>
    <row r="349" spans="1:3" x14ac:dyDescent="0.2">
      <c r="A349" t="str">
        <f>'All Epitope Lists'!$P350</f>
        <v>B49_Nef_YY9</v>
      </c>
      <c r="B349">
        <f>'All Epitope Lists'!$K350</f>
        <v>9199</v>
      </c>
      <c r="C349">
        <f>'All Epitope Lists'!$L350</f>
        <v>9225</v>
      </c>
    </row>
    <row r="350" spans="1:3" x14ac:dyDescent="0.2">
      <c r="A350" t="str">
        <f>'All Epitope Lists'!$P351</f>
        <v>B53_Nef_YF9</v>
      </c>
      <c r="B350">
        <f>'All Epitope Lists'!$K351</f>
        <v>9199</v>
      </c>
      <c r="C350">
        <f>'All Epitope Lists'!$L351</f>
        <v>9225</v>
      </c>
    </row>
    <row r="351" spans="1:3" x14ac:dyDescent="0.2">
      <c r="A351" t="str">
        <f>'All Epitope Lists'!$P352</f>
        <v>A0201_Nef_PL10</v>
      </c>
      <c r="B351">
        <f>'All Epitope Lists'!$K352</f>
        <v>9202</v>
      </c>
      <c r="C351">
        <f>'All Epitope Lists'!$L352</f>
        <v>9231</v>
      </c>
    </row>
    <row r="352" spans="1:3" x14ac:dyDescent="0.2">
      <c r="A352" t="str">
        <f>'All Epitope Lists'!$P353</f>
        <v>B57_Nef_LL9</v>
      </c>
      <c r="B352">
        <f>'All Epitope Lists'!$K353</f>
        <v>9205</v>
      </c>
      <c r="C352">
        <f>'All Epitope Lists'!$L353</f>
        <v>9231</v>
      </c>
    </row>
    <row r="353" spans="1:3" x14ac:dyDescent="0.2">
      <c r="A353" t="str">
        <f>'All Epitope Lists'!$P354</f>
        <v>B63_Nef_LL9</v>
      </c>
      <c r="B353">
        <f>'All Epitope Lists'!$K354</f>
        <v>9205</v>
      </c>
      <c r="C353">
        <f>'All Epitope Lists'!$L354</f>
        <v>9231</v>
      </c>
    </row>
    <row r="354" spans="1:3" x14ac:dyDescent="0.2">
      <c r="A354" t="str">
        <f>'All Epitope Lists'!$P355</f>
        <v>A02_Nef_LV10</v>
      </c>
      <c r="B354">
        <f>'All Epitope Lists'!$K355</f>
        <v>9205</v>
      </c>
      <c r="C354">
        <f>'All Epitope Lists'!$L355</f>
        <v>9234</v>
      </c>
    </row>
    <row r="355" spans="1:3" x14ac:dyDescent="0.2">
      <c r="A355" t="str">
        <f>'All Epitope Lists'!$P356</f>
        <v>A0201_Nef_VL10</v>
      </c>
      <c r="B355">
        <f>'All Epitope Lists'!$K356</f>
        <v>9334</v>
      </c>
      <c r="C355">
        <f>'All Epitope Lists'!$L356</f>
        <v>9363</v>
      </c>
    </row>
    <row r="356" spans="1:3" x14ac:dyDescent="0.2">
      <c r="A356" t="str">
        <f>'All Epitope Lists'!$P357</f>
        <v>A0101_Nef_WH10</v>
      </c>
      <c r="B356">
        <f>'All Epitope Lists'!$K357</f>
        <v>9343</v>
      </c>
      <c r="C356">
        <f>'All Epitope Lists'!$L357</f>
        <v>9369</v>
      </c>
    </row>
    <row r="357" spans="1:3" x14ac:dyDescent="0.2">
      <c r="A357" t="str">
        <f>'All Epitope Lists'!$P358</f>
        <v>B1503_Nef_WF9</v>
      </c>
      <c r="B357">
        <f>'All Epitope Lists'!$K358</f>
        <v>9343</v>
      </c>
      <c r="C357">
        <f>'All Epitope Lists'!$L358</f>
        <v>9369</v>
      </c>
    </row>
    <row r="358" spans="1:3" x14ac:dyDescent="0.2">
      <c r="A358" t="str">
        <f>'All Epitope Lists'!$P359</f>
        <v>B8_Nef_SA9</v>
      </c>
      <c r="B358">
        <f>'All Epitope Lists'!$K359</f>
        <v>9355</v>
      </c>
      <c r="C358">
        <f>'All Epitope Lists'!$L359</f>
        <v>9381</v>
      </c>
    </row>
    <row r="359" spans="1:3" x14ac:dyDescent="0.2">
      <c r="A359" t="str">
        <f>'All Epitope Lists'!$P360</f>
        <v>A03_Nef_RR9</v>
      </c>
      <c r="B359">
        <f>'All Epitope Lists'!$K360</f>
        <v>9358</v>
      </c>
      <c r="C359">
        <f>'All Epitope Lists'!$L360</f>
        <v>9384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3A135-58EB-A448-8D31-F67BB4D2418D}">
  <dimension ref="A1:C363"/>
  <sheetViews>
    <sheetView workbookViewId="0">
      <selection activeCell="A74" sqref="A74"/>
    </sheetView>
  </sheetViews>
  <sheetFormatPr baseColWidth="10" defaultRowHeight="16" x14ac:dyDescent="0.2"/>
  <cols>
    <col min="1" max="1" width="17" customWidth="1"/>
  </cols>
  <sheetData>
    <row r="1" spans="1:3" x14ac:dyDescent="0.2">
      <c r="A1" t="str">
        <f>'All Epitope Lists'!$P2</f>
        <v>B4002_Gag_GI9</v>
      </c>
      <c r="B1">
        <f>'All Epitope Lists'!$Q2</f>
        <v>42</v>
      </c>
      <c r="C1">
        <f>'All Epitope Lists'!$R2</f>
        <v>68</v>
      </c>
    </row>
    <row r="2" spans="1:3" x14ac:dyDescent="0.2">
      <c r="A2" t="str">
        <f>'All Epitope Lists'!$P3</f>
        <v>B40_Gag_DG11</v>
      </c>
      <c r="B2">
        <f>'All Epitope Lists'!$Q3</f>
        <v>51</v>
      </c>
      <c r="C2">
        <f>'All Epitope Lists'!$R3</f>
        <v>83</v>
      </c>
    </row>
    <row r="3" spans="1:3" x14ac:dyDescent="0.2">
      <c r="A3" t="str">
        <f>'All Epitope Lists'!$P4</f>
        <v>A0301_Gag_KK9</v>
      </c>
      <c r="B3">
        <f>'All Epitope Lists'!$Q4</f>
        <v>63</v>
      </c>
      <c r="C3">
        <f>'All Epitope Lists'!$R4</f>
        <v>89</v>
      </c>
    </row>
    <row r="4" spans="1:3" x14ac:dyDescent="0.2">
      <c r="A4" t="str">
        <f>'All Epitope Lists'!$P5</f>
        <v>B2705_Gag_IK9</v>
      </c>
      <c r="B4">
        <f>'All Epitope Lists'!$Q5</f>
        <v>66</v>
      </c>
      <c r="C4">
        <f>'All Epitope Lists'!$R5</f>
        <v>92</v>
      </c>
    </row>
    <row r="5" spans="1:3" x14ac:dyDescent="0.2">
      <c r="A5" t="str">
        <f>'All Epitope Lists'!$P6</f>
        <v>A0301_Gag_RK9</v>
      </c>
      <c r="B5">
        <f>'All Epitope Lists'!$Q6</f>
        <v>69</v>
      </c>
      <c r="C5">
        <f>'All Epitope Lists'!$R6</f>
        <v>95</v>
      </c>
    </row>
    <row r="6" spans="1:3" x14ac:dyDescent="0.2">
      <c r="A6" t="str">
        <f>'All Epitope Lists'!$P7</f>
        <v>A0301_Gag_RY10</v>
      </c>
      <c r="B6">
        <f>'All Epitope Lists'!$Q7</f>
        <v>69</v>
      </c>
      <c r="C6">
        <f>'All Epitope Lists'!$R7</f>
        <v>98</v>
      </c>
    </row>
    <row r="7" spans="1:3" x14ac:dyDescent="0.2">
      <c r="A7" t="str">
        <f>'All Epitope Lists'!$P8</f>
        <v>B0702_Gag_RK9</v>
      </c>
      <c r="B7">
        <f>'All Epitope Lists'!$Q8</f>
        <v>75</v>
      </c>
      <c r="C7">
        <f>'All Epitope Lists'!$R8</f>
        <v>101</v>
      </c>
    </row>
    <row r="8" spans="1:3" x14ac:dyDescent="0.2">
      <c r="A8" t="str">
        <f>'All Epitope Lists'!$P9</f>
        <v>B5101_Gag_RL10</v>
      </c>
      <c r="B8">
        <f>'All Epitope Lists'!$Q9</f>
        <v>75</v>
      </c>
      <c r="C8">
        <f>'All Epitope Lists'!$R9</f>
        <v>104</v>
      </c>
    </row>
    <row r="9" spans="1:3" x14ac:dyDescent="0.2">
      <c r="A9" t="str">
        <f>'All Epitope Lists'!$P10</f>
        <v>B0801_Gag_GL8</v>
      </c>
      <c r="B9">
        <f>'All Epitope Lists'!$Q10</f>
        <v>81</v>
      </c>
      <c r="C9">
        <f>'All Epitope Lists'!$R10</f>
        <v>104</v>
      </c>
    </row>
    <row r="10" spans="1:3" x14ac:dyDescent="0.2">
      <c r="A10" t="str">
        <f>'All Epitope Lists'!$P11</f>
        <v>B0801_Gag_GK9</v>
      </c>
      <c r="B10">
        <f>'All Epitope Lists'!$Q11</f>
        <v>81</v>
      </c>
      <c r="C10">
        <f>'All Epitope Lists'!$R11</f>
        <v>107</v>
      </c>
    </row>
    <row r="11" spans="1:3" x14ac:dyDescent="0.2">
      <c r="A11" t="str">
        <f>'All Epitope Lists'!$P12</f>
        <v>A2402_Gag_KW9</v>
      </c>
      <c r="B11">
        <f>'All Epitope Lists'!$Q12</f>
        <v>93</v>
      </c>
      <c r="C11">
        <f>'All Epitope Lists'!$R12</f>
        <v>119</v>
      </c>
    </row>
    <row r="12" spans="1:3" x14ac:dyDescent="0.2">
      <c r="A12" t="str">
        <f>'All Epitope Lists'!$P13</f>
        <v>Cw0804_Gag_HL9</v>
      </c>
      <c r="B12">
        <f>'All Epitope Lists'!$Q13</f>
        <v>108</v>
      </c>
      <c r="C12">
        <f>'All Epitope Lists'!$R13</f>
        <v>134</v>
      </c>
    </row>
    <row r="13" spans="1:3" x14ac:dyDescent="0.2">
      <c r="A13" t="str">
        <f>'All Epitope Lists'!$P14</f>
        <v>A30_Gag_LF11</v>
      </c>
      <c r="B13">
        <f>'All Epitope Lists'!$Q14</f>
        <v>111</v>
      </c>
      <c r="C13">
        <f>'All Epitope Lists'!$R14</f>
        <v>143</v>
      </c>
    </row>
    <row r="14" spans="1:3" x14ac:dyDescent="0.2">
      <c r="A14" t="str">
        <f>'All Epitope Lists'!$P15</f>
        <v>B3501_Gag_WF9</v>
      </c>
      <c r="B14">
        <f>'All Epitope Lists'!$Q15</f>
        <v>117</v>
      </c>
      <c r="C14">
        <f>'All Epitope Lists'!$R15</f>
        <v>143</v>
      </c>
    </row>
    <row r="15" spans="1:3" x14ac:dyDescent="0.2">
      <c r="A15" t="str">
        <f>'All Epitope Lists'!$P16</f>
        <v>B40_Gag_LI10</v>
      </c>
      <c r="B15">
        <f>'All Epitope Lists'!$Q16</f>
        <v>162</v>
      </c>
      <c r="C15">
        <f>'All Epitope Lists'!$R16</f>
        <v>191</v>
      </c>
    </row>
    <row r="16" spans="1:3" x14ac:dyDescent="0.2">
      <c r="A16" t="str">
        <f>'All Epitope Lists'!$P17</f>
        <v>A0101_Gag_GY9</v>
      </c>
      <c r="B16">
        <f>'All Epitope Lists'!$Q17</f>
        <v>222</v>
      </c>
      <c r="C16">
        <f>'All Epitope Lists'!$R17</f>
        <v>248</v>
      </c>
    </row>
    <row r="17" spans="1:3" x14ac:dyDescent="0.2">
      <c r="A17" t="str">
        <f>'All Epitope Lists'!$P18</f>
        <v>B0801_Gag_EV9</v>
      </c>
      <c r="B17">
        <f>'All Epitope Lists'!$Q18</f>
        <v>231</v>
      </c>
      <c r="C17">
        <f>'All Epitope Lists'!$R18</f>
        <v>257</v>
      </c>
    </row>
    <row r="18" spans="1:3" x14ac:dyDescent="0.2">
      <c r="A18" t="str">
        <f>'All Epitope Lists'!$P19</f>
        <v>A3002_Gag_RY11</v>
      </c>
      <c r="B18">
        <f>'All Epitope Lists'!$Q19</f>
        <v>237</v>
      </c>
      <c r="C18">
        <f>'All Epitope Lists'!$R19</f>
        <v>269</v>
      </c>
    </row>
    <row r="19" spans="1:3" x14ac:dyDescent="0.2">
      <c r="A19" t="str">
        <f>'All Epitope Lists'!$P20</f>
        <v>B58_Gag_RY11</v>
      </c>
      <c r="B19">
        <f>'All Epitope Lists'!$Q20</f>
        <v>237</v>
      </c>
      <c r="C19">
        <f>'All Epitope Lists'!$R20</f>
        <v>269</v>
      </c>
    </row>
    <row r="20" spans="1:3" x14ac:dyDescent="0.2">
      <c r="A20" t="str">
        <f>'All Epitope Lists'!$P21</f>
        <v>B63_Gag_RY11</v>
      </c>
      <c r="B20">
        <f>'All Epitope Lists'!$Q21</f>
        <v>237</v>
      </c>
      <c r="C20">
        <f>'All Epitope Lists'!$R21</f>
        <v>269</v>
      </c>
    </row>
    <row r="21" spans="1:3" x14ac:dyDescent="0.2">
      <c r="A21" t="str">
        <f>'All Epitope Lists'!$P22</f>
        <v>A0201_Gag_SL9</v>
      </c>
      <c r="B21">
        <f>'All Epitope Lists'!$Q22</f>
        <v>240</v>
      </c>
      <c r="C21">
        <f>'All Epitope Lists'!$R22</f>
        <v>266</v>
      </c>
    </row>
    <row r="22" spans="1:3" x14ac:dyDescent="0.2">
      <c r="A22" t="str">
        <f>'All Epitope Lists'!$P23</f>
        <v>A0201_Gag_SY10</v>
      </c>
      <c r="B22">
        <f>'All Epitope Lists'!$Q23</f>
        <v>240</v>
      </c>
      <c r="C22">
        <f>'All Epitope Lists'!$R23</f>
        <v>269</v>
      </c>
    </row>
    <row r="23" spans="1:3" x14ac:dyDescent="0.2">
      <c r="A23" t="str">
        <f>'All Epitope Lists'!$P24</f>
        <v>Cw14_Gag_LL8</v>
      </c>
      <c r="B23">
        <f>'All Epitope Lists'!$Q24</f>
        <v>243</v>
      </c>
      <c r="C23">
        <f>'All Epitope Lists'!$R24</f>
        <v>266</v>
      </c>
    </row>
    <row r="24" spans="1:3" x14ac:dyDescent="0.2">
      <c r="A24" t="str">
        <f>'All Epitope Lists'!$P25</f>
        <v>A2902_Gag_LY9</v>
      </c>
      <c r="B24">
        <f>'All Epitope Lists'!$Q25</f>
        <v>243</v>
      </c>
      <c r="C24">
        <f>'All Epitope Lists'!$R25</f>
        <v>269</v>
      </c>
    </row>
    <row r="25" spans="1:3" x14ac:dyDescent="0.2">
      <c r="A25" t="str">
        <f>'All Epitope Lists'!$P26</f>
        <v>B4403_Gag_LY9</v>
      </c>
      <c r="B25">
        <f>'All Epitope Lists'!$Q26</f>
        <v>243</v>
      </c>
      <c r="C25">
        <f>'All Epitope Lists'!$R26</f>
        <v>269</v>
      </c>
    </row>
    <row r="26" spans="1:3" x14ac:dyDescent="0.2">
      <c r="A26" t="str">
        <f>'All Epitope Lists'!$P27</f>
        <v>A1101_Gag_TK8</v>
      </c>
      <c r="B26">
        <f>'All Epitope Lists'!$Q27</f>
        <v>261</v>
      </c>
      <c r="C26">
        <f>'All Epitope Lists'!$R27</f>
        <v>284</v>
      </c>
    </row>
    <row r="27" spans="1:3" x14ac:dyDescent="0.2">
      <c r="A27" t="str">
        <f>'All Epitope Lists'!$P28</f>
        <v>B4001_Gag_IL10</v>
      </c>
      <c r="B27">
        <f>'All Epitope Lists'!$Q28</f>
        <v>285</v>
      </c>
      <c r="C27">
        <f>'All Epitope Lists'!$R28</f>
        <v>314</v>
      </c>
    </row>
    <row r="28" spans="1:3" x14ac:dyDescent="0.2">
      <c r="A28" t="str">
        <f>'All Epitope Lists'!$P29</f>
        <v>B3501_Gag_NY9</v>
      </c>
      <c r="B28">
        <f>'All Epitope Lists'!$Q29</f>
        <v>381</v>
      </c>
      <c r="C28">
        <f>'All Epitope Lists'!$R29</f>
        <v>407</v>
      </c>
    </row>
    <row r="29" spans="1:3" x14ac:dyDescent="0.2">
      <c r="A29" t="str">
        <f>'All Epitope Lists'!$P30</f>
        <v>B13_Gag_VV9</v>
      </c>
      <c r="B29">
        <f>'All Epitope Lists'!$Q30</f>
        <v>414</v>
      </c>
      <c r="C29">
        <f>'All Epitope Lists'!$R30</f>
        <v>440</v>
      </c>
    </row>
    <row r="30" spans="1:3" x14ac:dyDescent="0.2">
      <c r="A30" t="str">
        <f>'All Epitope Lists'!$P31</f>
        <v>B1302_Gag_GI8</v>
      </c>
      <c r="B30">
        <f>'All Epitope Lists'!$Q31</f>
        <v>429</v>
      </c>
      <c r="C30">
        <f>'All Epitope Lists'!$R31</f>
        <v>452</v>
      </c>
    </row>
    <row r="31" spans="1:3" x14ac:dyDescent="0.2">
      <c r="A31" t="str">
        <f>'All Epitope Lists'!$P32</f>
        <v>B1510_Gag_HL9</v>
      </c>
      <c r="B31">
        <f>'All Epitope Lists'!$Q32</f>
        <v>441</v>
      </c>
      <c r="C31">
        <f>'All Epitope Lists'!$R32</f>
        <v>467</v>
      </c>
    </row>
    <row r="32" spans="1:3" x14ac:dyDescent="0.2">
      <c r="A32" t="str">
        <f>'All Epitope Lists'!$P33</f>
        <v>A2501_Gag_QW11</v>
      </c>
      <c r="B32">
        <f>'All Epitope Lists'!$Q33</f>
        <v>444</v>
      </c>
      <c r="C32">
        <f>'All Epitope Lists'!$R33</f>
        <v>476</v>
      </c>
    </row>
    <row r="33" spans="1:3" x14ac:dyDescent="0.2">
      <c r="A33" t="str">
        <f>'All Epitope Lists'!$P34</f>
        <v>B5701_Gag_IW9</v>
      </c>
      <c r="B33">
        <f>'All Epitope Lists'!$Q34</f>
        <v>450</v>
      </c>
      <c r="C33">
        <f>'All Epitope Lists'!$R34</f>
        <v>476</v>
      </c>
    </row>
    <row r="34" spans="1:3" x14ac:dyDescent="0.2">
      <c r="A34" t="str">
        <f>'All Epitope Lists'!$P35</f>
        <v>B63_Gag_IW9</v>
      </c>
      <c r="B34">
        <f>'All Epitope Lists'!$Q35</f>
        <v>450</v>
      </c>
      <c r="C34">
        <f>'All Epitope Lists'!$R35</f>
        <v>476</v>
      </c>
    </row>
    <row r="35" spans="1:3" x14ac:dyDescent="0.2">
      <c r="A35" t="str">
        <f>'All Epitope Lists'!$P36</f>
        <v>B0702_Gag_SV9</v>
      </c>
      <c r="B35">
        <f>'All Epitope Lists'!$Q36</f>
        <v>453</v>
      </c>
      <c r="C35">
        <f>'All Epitope Lists'!$R36</f>
        <v>479</v>
      </c>
    </row>
    <row r="36" spans="1:3" x14ac:dyDescent="0.2">
      <c r="A36" t="str">
        <f>'All Epitope Lists'!$P37</f>
        <v>B1503_Gag_VF9</v>
      </c>
      <c r="B36">
        <f>'All Epitope Lists'!$Q37</f>
        <v>477</v>
      </c>
      <c r="C36">
        <f>'All Epitope Lists'!$R37</f>
        <v>503</v>
      </c>
    </row>
    <row r="37" spans="1:3" x14ac:dyDescent="0.2">
      <c r="A37" t="str">
        <f>'All Epitope Lists'!$P38</f>
        <v>B4415_Gag_EV9</v>
      </c>
      <c r="B37">
        <f>'All Epitope Lists'!$Q38</f>
        <v>489</v>
      </c>
      <c r="C37">
        <f>'All Epitope Lists'!$R38</f>
        <v>515</v>
      </c>
    </row>
    <row r="38" spans="1:3" x14ac:dyDescent="0.2">
      <c r="A38" t="str">
        <f>'All Epitope Lists'!$P39</f>
        <v>B5703_Gag_KI8</v>
      </c>
      <c r="B38">
        <f>'All Epitope Lists'!$Q39</f>
        <v>495</v>
      </c>
      <c r="C38">
        <f>'All Epitope Lists'!$R39</f>
        <v>518</v>
      </c>
    </row>
    <row r="39" spans="1:3" x14ac:dyDescent="0.2">
      <c r="A39" t="str">
        <f>'All Epitope Lists'!$P40</f>
        <v>B5701_Gag_KF11</v>
      </c>
      <c r="B39">
        <f>'All Epitope Lists'!$Q40</f>
        <v>495</v>
      </c>
      <c r="C39">
        <f>'All Epitope Lists'!$R40</f>
        <v>527</v>
      </c>
    </row>
    <row r="40" spans="1:3" x14ac:dyDescent="0.2">
      <c r="A40" t="str">
        <f>'All Epitope Lists'!$P41</f>
        <v>B63_Gag_KF11</v>
      </c>
      <c r="B40">
        <f>'All Epitope Lists'!$Q41</f>
        <v>495</v>
      </c>
      <c r="C40">
        <f>'All Epitope Lists'!$R41</f>
        <v>527</v>
      </c>
    </row>
    <row r="41" spans="1:3" x14ac:dyDescent="0.2">
      <c r="A41" t="str">
        <f>'All Epitope Lists'!$P42</f>
        <v>B57_Gag_FF9</v>
      </c>
      <c r="B41">
        <f>'All Epitope Lists'!$Q42</f>
        <v>501</v>
      </c>
      <c r="C41">
        <f>'All Epitope Lists'!$R42</f>
        <v>527</v>
      </c>
    </row>
    <row r="42" spans="1:3" x14ac:dyDescent="0.2">
      <c r="A42" t="str">
        <f>'All Epitope Lists'!$P43</f>
        <v>A2601_Gag_EL9</v>
      </c>
      <c r="B42">
        <f>'All Epitope Lists'!$Q43</f>
        <v>510</v>
      </c>
      <c r="C42">
        <f>'All Epitope Lists'!$R43</f>
        <v>536</v>
      </c>
    </row>
    <row r="43" spans="1:3" x14ac:dyDescent="0.2">
      <c r="A43" t="str">
        <f>'All Epitope Lists'!$P44</f>
        <v>Cw0102_Gag_VL8</v>
      </c>
      <c r="B43">
        <f>'All Epitope Lists'!$Q44</f>
        <v>513</v>
      </c>
      <c r="C43">
        <f>'All Epitope Lists'!$R44</f>
        <v>536</v>
      </c>
    </row>
    <row r="44" spans="1:3" x14ac:dyDescent="0.2">
      <c r="A44" t="str">
        <f>'All Epitope Lists'!$P45</f>
        <v>B4001_Gag_SL9</v>
      </c>
      <c r="B44">
        <f>'All Epitope Lists'!$Q45</f>
        <v>537</v>
      </c>
      <c r="C44">
        <f>'All Epitope Lists'!$R45</f>
        <v>563</v>
      </c>
    </row>
    <row r="45" spans="1:3" x14ac:dyDescent="0.2">
      <c r="A45" t="str">
        <f>'All Epitope Lists'!$P46</f>
        <v>B0702_Gag_TL9</v>
      </c>
      <c r="B45">
        <f>'All Epitope Lists'!$Q46</f>
        <v>549</v>
      </c>
      <c r="C45">
        <f>'All Epitope Lists'!$R46</f>
        <v>575</v>
      </c>
    </row>
    <row r="46" spans="1:3" x14ac:dyDescent="0.2">
      <c r="A46" t="str">
        <f>'All Epitope Lists'!$P47</f>
        <v>B3910_Gag_TL9</v>
      </c>
      <c r="B46">
        <f>'All Epitope Lists'!$Q47</f>
        <v>549</v>
      </c>
      <c r="C46">
        <f>'All Epitope Lists'!$R47</f>
        <v>575</v>
      </c>
    </row>
    <row r="47" spans="1:3" x14ac:dyDescent="0.2">
      <c r="A47" t="str">
        <f>'All Epitope Lists'!$P48</f>
        <v>B4201_Gag_TL9</v>
      </c>
      <c r="B47">
        <f>'All Epitope Lists'!$Q48</f>
        <v>549</v>
      </c>
      <c r="C47">
        <f>'All Epitope Lists'!$R48</f>
        <v>575</v>
      </c>
    </row>
    <row r="48" spans="1:3" x14ac:dyDescent="0.2">
      <c r="A48" t="str">
        <f>'All Epitope Lists'!$P49</f>
        <v>B53_Gag_TL9</v>
      </c>
      <c r="B48">
        <f>'All Epitope Lists'!$Q49</f>
        <v>549</v>
      </c>
      <c r="C48">
        <f>'All Epitope Lists'!$R49</f>
        <v>575</v>
      </c>
    </row>
    <row r="49" spans="1:3" x14ac:dyDescent="0.2">
      <c r="A49" t="str">
        <f>'All Epitope Lists'!$P50</f>
        <v>B8101_Gag_TL9</v>
      </c>
      <c r="B49">
        <f>'All Epitope Lists'!$Q50</f>
        <v>549</v>
      </c>
      <c r="C49">
        <f>'All Epitope Lists'!$R50</f>
        <v>575</v>
      </c>
    </row>
    <row r="50" spans="1:3" x14ac:dyDescent="0.2">
      <c r="A50" t="str">
        <f>'All Epitope Lists'!$P51</f>
        <v>Cw0802_Gag_TL9</v>
      </c>
      <c r="B50">
        <f>'All Epitope Lists'!$Q51</f>
        <v>549</v>
      </c>
      <c r="C50">
        <f>'All Epitope Lists'!$R51</f>
        <v>575</v>
      </c>
    </row>
    <row r="51" spans="1:3" x14ac:dyDescent="0.2">
      <c r="A51" t="str">
        <f>'All Epitope Lists'!$P52</f>
        <v>B1510_Gag_GL9</v>
      </c>
      <c r="B51">
        <f>'All Epitope Lists'!$Q52</f>
        <v>588</v>
      </c>
      <c r="C51">
        <f>'All Epitope Lists'!$R52</f>
        <v>614</v>
      </c>
    </row>
    <row r="52" spans="1:3" x14ac:dyDescent="0.2">
      <c r="A52" t="str">
        <f>'All Epitope Lists'!$P53</f>
        <v>B3901_Gag_GL9</v>
      </c>
      <c r="B52">
        <f>'All Epitope Lists'!$Q53</f>
        <v>588</v>
      </c>
      <c r="C52">
        <f>'All Epitope Lists'!$R53</f>
        <v>614</v>
      </c>
    </row>
    <row r="53" spans="1:3" x14ac:dyDescent="0.2">
      <c r="A53" t="str">
        <f>'All Epitope Lists'!$P54</f>
        <v>B4002_Gag_KA9</v>
      </c>
      <c r="B53">
        <f>'All Epitope Lists'!$Q54</f>
        <v>615</v>
      </c>
      <c r="C53">
        <f>'All Epitope Lists'!$R54</f>
        <v>641</v>
      </c>
    </row>
    <row r="54" spans="1:3" x14ac:dyDescent="0.2">
      <c r="A54" t="str">
        <f>'All Epitope Lists'!$P55</f>
        <v>A2501_Gag_EW10</v>
      </c>
      <c r="B54">
        <f>'All Epitope Lists'!$Q55</f>
        <v>618</v>
      </c>
      <c r="C54">
        <f>'All Epitope Lists'!$R55</f>
        <v>647</v>
      </c>
    </row>
    <row r="55" spans="1:3" x14ac:dyDescent="0.2">
      <c r="A55" t="str">
        <f>'All Epitope Lists'!$P56</f>
        <v>B4002_Gag_AV9</v>
      </c>
      <c r="B55">
        <f>'All Epitope Lists'!$Q56</f>
        <v>639</v>
      </c>
      <c r="C55">
        <f>'All Epitope Lists'!$R56</f>
        <v>665</v>
      </c>
    </row>
    <row r="56" spans="1:3" x14ac:dyDescent="0.2">
      <c r="A56" t="str">
        <f>'All Epitope Lists'!$P57</f>
        <v>B07_Gag_HA9</v>
      </c>
      <c r="B56">
        <f>'All Epitope Lists'!$Q57</f>
        <v>657</v>
      </c>
      <c r="C56">
        <f>'All Epitope Lists'!$R57</f>
        <v>683</v>
      </c>
    </row>
    <row r="57" spans="1:3" x14ac:dyDescent="0.2">
      <c r="A57" t="str">
        <f>'All Epitope Lists'!$P58</f>
        <v>B3501_Gag_HA9</v>
      </c>
      <c r="B57">
        <f>'All Epitope Lists'!$Q58</f>
        <v>657</v>
      </c>
      <c r="C57">
        <f>'All Epitope Lists'!$R58</f>
        <v>683</v>
      </c>
    </row>
    <row r="58" spans="1:3" x14ac:dyDescent="0.2">
      <c r="A58" t="str">
        <f>'All Epitope Lists'!$P59</f>
        <v>B13_Gag_GI11</v>
      </c>
      <c r="B58">
        <f>'All Epitope Lists'!$Q59</f>
        <v>687</v>
      </c>
      <c r="C58">
        <f>'All Epitope Lists'!$R59</f>
        <v>719</v>
      </c>
    </row>
    <row r="59" spans="1:3" x14ac:dyDescent="0.2">
      <c r="A59" t="str">
        <f>'All Epitope Lists'!$P60</f>
        <v>B5701_Gag_TW10</v>
      </c>
      <c r="B59">
        <f>'All Epitope Lists'!$Q60</f>
        <v>729</v>
      </c>
      <c r="C59">
        <f>'All Epitope Lists'!$R60</f>
        <v>758</v>
      </c>
    </row>
    <row r="60" spans="1:3" x14ac:dyDescent="0.2">
      <c r="A60" t="str">
        <f>'All Epitope Lists'!$P61</f>
        <v>B5801_Gag_TW10</v>
      </c>
      <c r="B60">
        <f>'All Epitope Lists'!$Q61</f>
        <v>729</v>
      </c>
      <c r="C60">
        <f>'All Epitope Lists'!$R61</f>
        <v>758</v>
      </c>
    </row>
    <row r="61" spans="1:3" x14ac:dyDescent="0.2">
      <c r="A61" t="str">
        <f>'All Epitope Lists'!$P62</f>
        <v>B3501_Gag_NY10</v>
      </c>
      <c r="B61">
        <f>'All Epitope Lists'!$Q62</f>
        <v>768</v>
      </c>
      <c r="C61">
        <f>'All Epitope Lists'!$R62</f>
        <v>797</v>
      </c>
    </row>
    <row r="62" spans="1:3" x14ac:dyDescent="0.2">
      <c r="A62" t="str">
        <f>'All Epitope Lists'!$P63</f>
        <v>B3501_Gag_PY9</v>
      </c>
      <c r="B62">
        <f>'All Epitope Lists'!$Q63</f>
        <v>771</v>
      </c>
      <c r="C62">
        <f>'All Epitope Lists'!$R63</f>
        <v>797</v>
      </c>
    </row>
    <row r="63" spans="1:3" x14ac:dyDescent="0.2">
      <c r="A63" t="str">
        <f>'All Epitope Lists'!$P64</f>
        <v>B0801_Gag_EI8</v>
      </c>
      <c r="B63">
        <f>'All Epitope Lists'!$Q64</f>
        <v>789</v>
      </c>
      <c r="C63">
        <f>'All Epitope Lists'!$R64</f>
        <v>812</v>
      </c>
    </row>
    <row r="64" spans="1:3" x14ac:dyDescent="0.2">
      <c r="A64" t="str">
        <f>'All Epitope Lists'!$P65</f>
        <v>B2703_Gag_RK10</v>
      </c>
      <c r="B64">
        <f>'All Epitope Lists'!$Q65</f>
        <v>798</v>
      </c>
      <c r="C64">
        <f>'All Epitope Lists'!$R65</f>
        <v>827</v>
      </c>
    </row>
    <row r="65" spans="1:3" x14ac:dyDescent="0.2">
      <c r="A65" t="str">
        <f>'All Epitope Lists'!$P66</f>
        <v>B2705_Gag_KK10</v>
      </c>
      <c r="B65">
        <f>'All Epitope Lists'!$Q66</f>
        <v>798</v>
      </c>
      <c r="C65">
        <f>'All Epitope Lists'!$R66</f>
        <v>827</v>
      </c>
    </row>
    <row r="66" spans="1:3" x14ac:dyDescent="0.2">
      <c r="A66" t="str">
        <f>'All Epitope Lists'!$P67</f>
        <v>B1501_Gag_GY9</v>
      </c>
      <c r="B66">
        <f>'All Epitope Lists'!$Q67</f>
        <v>816</v>
      </c>
      <c r="C66">
        <f>'All Epitope Lists'!$R67</f>
        <v>842</v>
      </c>
    </row>
    <row r="67" spans="1:3" x14ac:dyDescent="0.2">
      <c r="A67" t="str">
        <f>'All Epitope Lists'!$P68</f>
        <v>B62_Gag_GY9</v>
      </c>
      <c r="B67">
        <f>'All Epitope Lists'!$Q68</f>
        <v>816</v>
      </c>
      <c r="C67">
        <f>'All Epitope Lists'!$R68</f>
        <v>842</v>
      </c>
    </row>
    <row r="68" spans="1:3" x14ac:dyDescent="0.2">
      <c r="A68" t="str">
        <f>'All Epitope Lists'!$P69</f>
        <v>B14_Gag_VI9</v>
      </c>
      <c r="B68">
        <f>'All Epitope Lists'!$Q69</f>
        <v>831</v>
      </c>
      <c r="C68">
        <f>'All Epitope Lists'!$R69</f>
        <v>857</v>
      </c>
    </row>
    <row r="69" spans="1:3" x14ac:dyDescent="0.2">
      <c r="A69" t="str">
        <f>'All Epitope Lists'!$P70</f>
        <v>Cw18_Gag_VI9</v>
      </c>
      <c r="B69">
        <f>'All Epitope Lists'!$Q70</f>
        <v>831</v>
      </c>
      <c r="C69">
        <f>'All Epitope Lists'!$R70</f>
        <v>857</v>
      </c>
    </row>
    <row r="70" spans="1:3" x14ac:dyDescent="0.2">
      <c r="A70" t="str">
        <f>'All Epitope Lists'!$P71</f>
        <v>B5201_Gag_RI8</v>
      </c>
      <c r="B70">
        <f>'All Epitope Lists'!$Q71</f>
        <v>834</v>
      </c>
      <c r="C70">
        <f>'All Epitope Lists'!$R71</f>
        <v>857</v>
      </c>
    </row>
    <row r="71" spans="1:3" x14ac:dyDescent="0.2">
      <c r="A71" t="str">
        <f>'All Epitope Lists'!$P72</f>
        <v>Cw0102_Gag_YI9</v>
      </c>
      <c r="B71">
        <f>'All Epitope Lists'!$Q72</f>
        <v>840</v>
      </c>
      <c r="C71">
        <f>'All Epitope Lists'!$R72</f>
        <v>866</v>
      </c>
    </row>
    <row r="72" spans="1:3" x14ac:dyDescent="0.2">
      <c r="A72" t="str">
        <f>'All Epitope Lists'!$P73</f>
        <v>Cw18_Gag_FF9</v>
      </c>
      <c r="B72">
        <f>'All Epitope Lists'!$Q73</f>
        <v>888</v>
      </c>
      <c r="C72">
        <f>'All Epitope Lists'!$R73</f>
        <v>914</v>
      </c>
    </row>
    <row r="73" spans="1:3" x14ac:dyDescent="0.2">
      <c r="A73" t="str">
        <f>'All Epitope Lists'!$P74</f>
        <v>B1801_Gag_FK10</v>
      </c>
      <c r="B73">
        <f>'All Epitope Lists'!$Q74</f>
        <v>888</v>
      </c>
      <c r="C73">
        <f>'All Epitope Lists'!$R74</f>
        <v>917</v>
      </c>
    </row>
    <row r="74" spans="1:3" x14ac:dyDescent="0.2">
      <c r="A74" t="str">
        <f>'All Epitope Lists'!$P75</f>
        <v>B4402_Gag_RL11</v>
      </c>
      <c r="B74">
        <f>'All Epitope Lists'!$Q75</f>
        <v>891</v>
      </c>
      <c r="C74">
        <f>'All Epitope Lists'!$R75</f>
        <v>923</v>
      </c>
    </row>
    <row r="75" spans="1:3" x14ac:dyDescent="0.2">
      <c r="A75" t="str">
        <f>'All Epitope Lists'!$P76</f>
        <v>A2402_Gag_RFL11</v>
      </c>
      <c r="B75">
        <f>'All Epitope Lists'!$Q76</f>
        <v>891</v>
      </c>
      <c r="C75">
        <f>'All Epitope Lists'!$R76</f>
        <v>923</v>
      </c>
    </row>
    <row r="76" spans="1:3" x14ac:dyDescent="0.2">
      <c r="A76" t="str">
        <f>'All Epitope Lists'!$P77</f>
        <v>A0207_Gag_YL9</v>
      </c>
      <c r="B76">
        <f>'All Epitope Lists'!$Q77</f>
        <v>897</v>
      </c>
      <c r="C76">
        <f>'All Epitope Lists'!$R77</f>
        <v>923</v>
      </c>
    </row>
    <row r="77" spans="1:3" x14ac:dyDescent="0.2">
      <c r="A77" t="str">
        <f>'All Epitope Lists'!$P78</f>
        <v>B1503_Gag_YL9</v>
      </c>
      <c r="B77">
        <f>'All Epitope Lists'!$Q78</f>
        <v>897</v>
      </c>
      <c r="C77">
        <f>'All Epitope Lists'!$R78</f>
        <v>923</v>
      </c>
    </row>
    <row r="78" spans="1:3" x14ac:dyDescent="0.2">
      <c r="A78" t="str">
        <f>'All Epitope Lists'!$P79</f>
        <v>Cw0303_Gag_YL9</v>
      </c>
      <c r="B78">
        <f>'All Epitope Lists'!$Q79</f>
        <v>897</v>
      </c>
      <c r="C78">
        <f>'All Epitope Lists'!$R79</f>
        <v>923</v>
      </c>
    </row>
    <row r="79" spans="1:3" x14ac:dyDescent="0.2">
      <c r="A79" t="str">
        <f>'All Epitope Lists'!$P80</f>
        <v>B1402_Gag_DA9</v>
      </c>
      <c r="B79">
        <f>'All Epitope Lists'!$Q80</f>
        <v>903</v>
      </c>
      <c r="C79">
        <f>'All Epitope Lists'!$R80</f>
        <v>929</v>
      </c>
    </row>
    <row r="80" spans="1:3" x14ac:dyDescent="0.2">
      <c r="A80" t="str">
        <f>'All Epitope Lists'!$P81</f>
        <v>B4402_Gag_AW11</v>
      </c>
      <c r="B80">
        <f>'All Epitope Lists'!$Q81</f>
        <v>927</v>
      </c>
      <c r="C80">
        <f>'All Epitope Lists'!$R81</f>
        <v>959</v>
      </c>
    </row>
    <row r="81" spans="1:3" x14ac:dyDescent="0.2">
      <c r="A81" t="str">
        <f>'All Epitope Lists'!$P82</f>
        <v>Cw5_Gag_AM12</v>
      </c>
      <c r="B81">
        <f>'All Epitope Lists'!$Q82</f>
        <v>927</v>
      </c>
      <c r="C81">
        <f>'All Epitope Lists'!$R82</f>
        <v>962</v>
      </c>
    </row>
    <row r="82" spans="1:3" x14ac:dyDescent="0.2">
      <c r="A82" t="str">
        <f>'All Epitope Lists'!$P83</f>
        <v>B5301_Gag_QW9</v>
      </c>
      <c r="B82">
        <f>'All Epitope Lists'!$Q83</f>
        <v>933</v>
      </c>
      <c r="C82">
        <f>'All Epitope Lists'!$R83</f>
        <v>959</v>
      </c>
    </row>
    <row r="83" spans="1:3" x14ac:dyDescent="0.2">
      <c r="A83" t="str">
        <f>'All Epitope Lists'!$P84</f>
        <v>B5701_Gag_QW9</v>
      </c>
      <c r="B83">
        <f>'All Epitope Lists'!$Q84</f>
        <v>933</v>
      </c>
      <c r="C83">
        <f>'All Epitope Lists'!$R84</f>
        <v>959</v>
      </c>
    </row>
    <row r="84" spans="1:3" x14ac:dyDescent="0.2">
      <c r="A84" t="str">
        <f>'All Epitope Lists'!$P85</f>
        <v>B5801_Gag_QW9</v>
      </c>
      <c r="B84">
        <f>'All Epitope Lists'!$Q85</f>
        <v>933</v>
      </c>
      <c r="C84">
        <f>'All Epitope Lists'!$R85</f>
        <v>959</v>
      </c>
    </row>
    <row r="85" spans="1:3" x14ac:dyDescent="0.2">
      <c r="A85" t="str">
        <f>'All Epitope Lists'!$P86</f>
        <v>B4801_Gag_VL9</v>
      </c>
      <c r="B85">
        <f>'All Epitope Lists'!$Q86</f>
        <v>948</v>
      </c>
      <c r="C85">
        <f>'All Epitope Lists'!$R86</f>
        <v>974</v>
      </c>
    </row>
    <row r="86" spans="1:3" x14ac:dyDescent="0.2">
      <c r="A86" t="str">
        <f>'All Epitope Lists'!$P87</f>
        <v>B0801_Gag_DL9</v>
      </c>
      <c r="B86">
        <f>'All Epitope Lists'!$Q87</f>
        <v>996</v>
      </c>
      <c r="C86">
        <f>'All Epitope Lists'!$R87</f>
        <v>1022</v>
      </c>
    </row>
    <row r="87" spans="1:3" x14ac:dyDescent="0.2">
      <c r="A87" t="str">
        <f>'All Epitope Lists'!$P88</f>
        <v>A1101_Gag_AK11</v>
      </c>
      <c r="B87">
        <f>'All Epitope Lists'!$Q88</f>
        <v>1056</v>
      </c>
      <c r="C87">
        <f>'All Epitope Lists'!$R88</f>
        <v>1088</v>
      </c>
    </row>
    <row r="88" spans="1:3" x14ac:dyDescent="0.2">
      <c r="A88" t="str">
        <f>'All Epitope Lists'!$P89</f>
        <v>A11_Gag_GK8</v>
      </c>
      <c r="B88">
        <f>'All Epitope Lists'!$Q89</f>
        <v>1065</v>
      </c>
      <c r="C88">
        <f>'All Epitope Lists'!$R89</f>
        <v>1088</v>
      </c>
    </row>
    <row r="89" spans="1:3" x14ac:dyDescent="0.2">
      <c r="A89" t="str">
        <f>'All Epitope Lists'!$P90</f>
        <v>B0702_Gag_GL9</v>
      </c>
      <c r="B89">
        <f>'All Epitope Lists'!$Q90</f>
        <v>1074</v>
      </c>
      <c r="C89">
        <f>'All Epitope Lists'!$R90</f>
        <v>1100</v>
      </c>
    </row>
    <row r="90" spans="1:3" x14ac:dyDescent="0.2">
      <c r="A90" t="str">
        <f>'All Epitope Lists'!$P91</f>
        <v>A02_Gag_VV9</v>
      </c>
      <c r="B90">
        <f>'All Epitope Lists'!$Q91</f>
        <v>1095</v>
      </c>
      <c r="C90">
        <f>'All Epitope Lists'!$R91</f>
        <v>1121</v>
      </c>
    </row>
    <row r="91" spans="1:3" x14ac:dyDescent="0.2">
      <c r="A91" t="str">
        <f>'All Epitope Lists'!$P92</f>
        <v>B4501_Gag_AS10</v>
      </c>
      <c r="B91">
        <f>'All Epitope Lists'!$Q92</f>
        <v>1101</v>
      </c>
      <c r="C91">
        <f>'All Epitope Lists'!$R92</f>
        <v>1130</v>
      </c>
    </row>
    <row r="92" spans="1:3" x14ac:dyDescent="0.2">
      <c r="A92" t="str">
        <f>'All Epitope Lists'!$P93</f>
        <v>B27_Gag_QK10</v>
      </c>
      <c r="B92">
        <f>'All Epitope Lists'!$Q93</f>
        <v>1146</v>
      </c>
      <c r="C92">
        <f>'All Epitope Lists'!$R93</f>
        <v>1175</v>
      </c>
    </row>
    <row r="93" spans="1:3" x14ac:dyDescent="0.2">
      <c r="A93" t="str">
        <f>'All Epitope Lists'!$P94</f>
        <v>B27_Gag_FK9</v>
      </c>
      <c r="B93">
        <f>'All Epitope Lists'!$Q94</f>
        <v>1158</v>
      </c>
      <c r="C93">
        <f>'All Epitope Lists'!$R94</f>
        <v>1184</v>
      </c>
    </row>
    <row r="94" spans="1:3" x14ac:dyDescent="0.2">
      <c r="A94" t="str">
        <f>'All Epitope Lists'!$P95</f>
        <v>B14_Gag_CC9</v>
      </c>
      <c r="B94">
        <f>'All Epitope Lists'!$Q95</f>
        <v>1224</v>
      </c>
      <c r="C94">
        <f>'All Epitope Lists'!$R95</f>
        <v>1250</v>
      </c>
    </row>
    <row r="95" spans="1:3" x14ac:dyDescent="0.2">
      <c r="A95" t="str">
        <f>'All Epitope Lists'!$P96</f>
        <v>B0702_Gag_AK9</v>
      </c>
      <c r="B95">
        <f>'All Epitope Lists'!$Q96</f>
        <v>1230</v>
      </c>
      <c r="C95">
        <f>'All Epitope Lists'!$R96</f>
        <v>1256</v>
      </c>
    </row>
    <row r="96" spans="1:3" x14ac:dyDescent="0.2">
      <c r="A96" t="str">
        <f>'All Epitope Lists'!$P97</f>
        <v>B4002_Gag_TL8</v>
      </c>
      <c r="B96">
        <f>'All Epitope Lists'!$Q97</f>
        <v>1290</v>
      </c>
      <c r="C96">
        <f>'All Epitope Lists'!$R97</f>
        <v>1313</v>
      </c>
    </row>
    <row r="97" spans="1:3" x14ac:dyDescent="0.2">
      <c r="A97" t="str">
        <f>'All Epitope Lists'!$P98</f>
        <v>B13_Gag_RI9</v>
      </c>
      <c r="B97">
        <f>'All Epitope Lists'!$Q98</f>
        <v>1296</v>
      </c>
      <c r="C97">
        <f>'All Epitope Lists'!$R98</f>
        <v>1322</v>
      </c>
    </row>
    <row r="98" spans="1:3" x14ac:dyDescent="0.2">
      <c r="A98" t="str">
        <f>'All Epitope Lists'!$P99</f>
        <v>B4801_Gag_RI9</v>
      </c>
      <c r="B98">
        <f>'All Epitope Lists'!$Q99</f>
        <v>1296</v>
      </c>
      <c r="C98">
        <f>'All Epitope Lists'!$R99</f>
        <v>1322</v>
      </c>
    </row>
    <row r="99" spans="1:3" x14ac:dyDescent="0.2">
      <c r="A99" t="str">
        <f>'All Epitope Lists'!$P100</f>
        <v>A0201_Gag_FK10</v>
      </c>
      <c r="B99">
        <f>'All Epitope Lists'!$Q100</f>
        <v>1308</v>
      </c>
      <c r="C99">
        <f>'All Epitope Lists'!$R100</f>
        <v>1337</v>
      </c>
    </row>
    <row r="100" spans="1:3" x14ac:dyDescent="0.2">
      <c r="A100" t="str">
        <f>'All Epitope Lists'!$P101</f>
        <v>Cw0102_Pol_NL8</v>
      </c>
      <c r="B100">
        <f>'All Epitope Lists'!$Q101</f>
        <v>1376</v>
      </c>
      <c r="C100">
        <f>'All Epitope Lists'!$R101</f>
        <v>1399</v>
      </c>
    </row>
    <row r="101" spans="1:3" x14ac:dyDescent="0.2">
      <c r="A101" t="str">
        <f>'All Epitope Lists'!$P102</f>
        <v>B4001_Gag_KL9</v>
      </c>
      <c r="B101">
        <f>'All Epitope Lists'!$Q102</f>
        <v>1452</v>
      </c>
      <c r="C101">
        <f>'All Epitope Lists'!$R102</f>
        <v>1478</v>
      </c>
    </row>
    <row r="102" spans="1:3" x14ac:dyDescent="0.2">
      <c r="A102" t="str">
        <f>'All Epitope Lists'!$P103</f>
        <v>A6802_Pol_IV9</v>
      </c>
      <c r="B102">
        <f>'All Epitope Lists'!$Q103</f>
        <v>1481</v>
      </c>
      <c r="C102">
        <f>'All Epitope Lists'!$R103</f>
        <v>1507</v>
      </c>
    </row>
    <row r="103" spans="1:3" x14ac:dyDescent="0.2">
      <c r="A103" t="str">
        <f>'All Epitope Lists'!$P104</f>
        <v>A7401_Pol_IV9</v>
      </c>
      <c r="B103">
        <f>'All Epitope Lists'!$Q104</f>
        <v>1481</v>
      </c>
      <c r="C103">
        <f>'All Epitope Lists'!$R104</f>
        <v>1507</v>
      </c>
    </row>
    <row r="104" spans="1:3" x14ac:dyDescent="0.2">
      <c r="A104" t="str">
        <f>'All Epitope Lists'!$P105</f>
        <v>B52_Pol_WI8</v>
      </c>
      <c r="B104">
        <f>'All Epitope Lists'!$Q105</f>
        <v>1490</v>
      </c>
      <c r="C104">
        <f>'All Epitope Lists'!$R105</f>
        <v>1517</v>
      </c>
    </row>
    <row r="105" spans="1:3" x14ac:dyDescent="0.2">
      <c r="A105" t="str">
        <f>'All Epitope Lists'!$P106</f>
        <v>B51_Pol_RI8</v>
      </c>
      <c r="B105">
        <f>'All Epitope Lists'!$Q106</f>
        <v>1496</v>
      </c>
      <c r="C105">
        <f>'All Epitope Lists'!$R106</f>
        <v>1519</v>
      </c>
    </row>
    <row r="106" spans="1:3" x14ac:dyDescent="0.2">
      <c r="A106" t="str">
        <f>'All Epitope Lists'!$P107</f>
        <v>A6802_Pol_DL9</v>
      </c>
      <c r="B106">
        <f>'All Epitope Lists'!$Q107</f>
        <v>1562</v>
      </c>
      <c r="C106">
        <f>'All Epitope Lists'!$R107</f>
        <v>1588</v>
      </c>
    </row>
    <row r="107" spans="1:3" x14ac:dyDescent="0.2">
      <c r="A107" t="str">
        <f>'All Epitope Lists'!$P108</f>
        <v>B44_Pol_EW9</v>
      </c>
      <c r="B107">
        <f>'All Epitope Lists'!$Q108</f>
        <v>1574</v>
      </c>
      <c r="C107">
        <f>'All Epitope Lists'!$R108</f>
        <v>1600</v>
      </c>
    </row>
    <row r="108" spans="1:3" x14ac:dyDescent="0.2">
      <c r="A108" t="str">
        <f>'All Epitope Lists'!$P109</f>
        <v>B13_Pol_RI10</v>
      </c>
      <c r="B108">
        <f>'All Epitope Lists'!$Q109</f>
        <v>1643</v>
      </c>
      <c r="C108">
        <f>'All Epitope Lists'!$R109</f>
        <v>1672</v>
      </c>
    </row>
    <row r="109" spans="1:3" x14ac:dyDescent="0.2">
      <c r="A109" t="str">
        <f>'All Epitope Lists'!$P110</f>
        <v>B1503_Pol_GL9</v>
      </c>
      <c r="B109">
        <f>'All Epitope Lists'!$Q110</f>
        <v>1676</v>
      </c>
      <c r="C109">
        <f>'All Epitope Lists'!$R110</f>
        <v>1702</v>
      </c>
    </row>
    <row r="110" spans="1:3" x14ac:dyDescent="0.2">
      <c r="A110" t="str">
        <f>'All Epitope Lists'!$P111</f>
        <v>B57_Pol_KV8</v>
      </c>
      <c r="B110">
        <f>'All Epitope Lists'!$Q111</f>
        <v>1682</v>
      </c>
      <c r="C110">
        <f>'All Epitope Lists'!$R111</f>
        <v>1705</v>
      </c>
    </row>
    <row r="111" spans="1:3" x14ac:dyDescent="0.2">
      <c r="A111" t="str">
        <f>'All Epitope Lists'!$P112</f>
        <v>A0201_Pol_LI9</v>
      </c>
      <c r="B111">
        <f>'All Epitope Lists'!$Q112</f>
        <v>1700</v>
      </c>
      <c r="C111">
        <f>'All Epitope Lists'!$R112</f>
        <v>1726</v>
      </c>
    </row>
    <row r="112" spans="1:3" x14ac:dyDescent="0.2">
      <c r="A112" t="str">
        <f>'All Epitope Lists'!$P113</f>
        <v>B81_Pol_TL11</v>
      </c>
      <c r="B112">
        <f>'All Epitope Lists'!$Q113</f>
        <v>1712</v>
      </c>
      <c r="C112">
        <f>'All Epitope Lists'!$R113</f>
        <v>1744</v>
      </c>
    </row>
    <row r="113" spans="1:3" x14ac:dyDescent="0.2">
      <c r="A113" t="str">
        <f>'All Epitope Lists'!$P114</f>
        <v>B5401_Pol_FV9</v>
      </c>
      <c r="B113">
        <f>'All Epitope Lists'!$Q114</f>
        <v>1769</v>
      </c>
      <c r="C113">
        <f>'All Epitope Lists'!$R114</f>
        <v>1795</v>
      </c>
    </row>
    <row r="114" spans="1:3" x14ac:dyDescent="0.2">
      <c r="A114" t="str">
        <f>'All Epitope Lists'!$P115</f>
        <v>B4001_Pol_IL8</v>
      </c>
      <c r="B114">
        <f>'All Epitope Lists'!$Q115</f>
        <v>1784</v>
      </c>
      <c r="C114">
        <f>'All Epitope Lists'!$R115</f>
        <v>1807</v>
      </c>
    </row>
    <row r="115" spans="1:3" x14ac:dyDescent="0.2">
      <c r="A115" t="str">
        <f>'All Epitope Lists'!$P116</f>
        <v>B0801_Pol_GL9</v>
      </c>
      <c r="B115">
        <f>'All Epitope Lists'!$Q116</f>
        <v>1823</v>
      </c>
      <c r="C115">
        <f>'All Epitope Lists'!$R116</f>
        <v>1849</v>
      </c>
    </row>
    <row r="116" spans="1:3" x14ac:dyDescent="0.2">
      <c r="A116" t="str">
        <f>'All Epitope Lists'!$P117</f>
        <v>A0201_Pol_AM9</v>
      </c>
      <c r="B116">
        <f>'All Epitope Lists'!$Q117</f>
        <v>1868</v>
      </c>
      <c r="C116">
        <f>'All Epitope Lists'!$R117</f>
        <v>1894</v>
      </c>
    </row>
    <row r="117" spans="1:3" x14ac:dyDescent="0.2">
      <c r="A117" t="str">
        <f>'All Epitope Lists'!$P118</f>
        <v>A0301_Pol_AK11</v>
      </c>
      <c r="B117">
        <f>'All Epitope Lists'!$Q118</f>
        <v>1868</v>
      </c>
      <c r="C117">
        <f>'All Epitope Lists'!$R118</f>
        <v>1900</v>
      </c>
    </row>
    <row r="118" spans="1:3" x14ac:dyDescent="0.2">
      <c r="A118" t="str">
        <f>'All Epitope Lists'!$P119</f>
        <v>B51_Pol_EI9-RT</v>
      </c>
      <c r="B118">
        <f>'All Epitope Lists'!$Q119</f>
        <v>1895</v>
      </c>
      <c r="C118">
        <f>'All Epitope Lists'!$R119</f>
        <v>1921</v>
      </c>
    </row>
    <row r="119" spans="1:3" x14ac:dyDescent="0.2">
      <c r="A119" t="str">
        <f>'All Epitope Lists'!$P120</f>
        <v>A0301_Pol_KK10</v>
      </c>
      <c r="B119">
        <f>'All Epitope Lists'!$Q120</f>
        <v>1988</v>
      </c>
      <c r="C119">
        <f>'All Epitope Lists'!$R120</f>
        <v>2017</v>
      </c>
    </row>
    <row r="120" spans="1:3" x14ac:dyDescent="0.2">
      <c r="A120" t="str">
        <f>'All Epitope Lists'!$P121</f>
        <v>A0301_Pol_GK9</v>
      </c>
      <c r="B120">
        <f>'All Epitope Lists'!$Q121</f>
        <v>2048</v>
      </c>
      <c r="C120">
        <f>'All Epitope Lists'!$R121</f>
        <v>2074</v>
      </c>
    </row>
    <row r="121" spans="1:3" x14ac:dyDescent="0.2">
      <c r="A121" t="str">
        <f>'All Epitope Lists'!$P122</f>
        <v>B3501_Pol_TY9</v>
      </c>
      <c r="B121">
        <f>'All Epitope Lists'!$Q122</f>
        <v>2090</v>
      </c>
      <c r="C121">
        <f>'All Epitope Lists'!$R122</f>
        <v>2116</v>
      </c>
    </row>
    <row r="122" spans="1:3" x14ac:dyDescent="0.2">
      <c r="A122" t="str">
        <f>'All Epitope Lists'!$P123</f>
        <v>A1101_Pol_SK10</v>
      </c>
      <c r="B122">
        <f>'All Epitope Lists'!$Q123</f>
        <v>2120</v>
      </c>
      <c r="C122">
        <f>'All Epitope Lists'!$R123</f>
        <v>2149</v>
      </c>
    </row>
    <row r="123" spans="1:3" x14ac:dyDescent="0.2">
      <c r="A123" t="str">
        <f>'All Epitope Lists'!$P124</f>
        <v>B3501_Pol_VY10</v>
      </c>
      <c r="B123">
        <f>'All Epitope Lists'!$Q124</f>
        <v>2123</v>
      </c>
      <c r="C123">
        <f>'All Epitope Lists'!$R124</f>
        <v>2152</v>
      </c>
    </row>
    <row r="124" spans="1:3" x14ac:dyDescent="0.2">
      <c r="A124" t="str">
        <f>'All Epitope Lists'!$P125</f>
        <v>A02_Pol_YV9</v>
      </c>
      <c r="B124">
        <f>'All Epitope Lists'!$Q125</f>
        <v>2150</v>
      </c>
      <c r="C124">
        <f>'All Epitope Lists'!$R125</f>
        <v>2176</v>
      </c>
    </row>
    <row r="125" spans="1:3" x14ac:dyDescent="0.2">
      <c r="A125" t="str">
        <f>'All Epitope Lists'!$P126</f>
        <v>A0206_Pol_YI9</v>
      </c>
      <c r="B125">
        <f>'All Epitope Lists'!$Q126</f>
        <v>2150</v>
      </c>
      <c r="C125">
        <f>'All Epitope Lists'!$R126</f>
        <v>2176</v>
      </c>
    </row>
    <row r="126" spans="1:3" x14ac:dyDescent="0.2">
      <c r="A126" t="str">
        <f>'All Epitope Lists'!$P127</f>
        <v>B5101_Pol_TI8</v>
      </c>
      <c r="B126">
        <f>'All Epitope Lists'!$Q127</f>
        <v>2153</v>
      </c>
      <c r="C126">
        <f>'All Epitope Lists'!$R127</f>
        <v>2176</v>
      </c>
    </row>
    <row r="127" spans="1:3" x14ac:dyDescent="0.2">
      <c r="A127" t="str">
        <f>'All Epitope Lists'!$P128</f>
        <v>B18_Pol_NY10</v>
      </c>
      <c r="B127">
        <f>'All Epitope Lists'!$Q128</f>
        <v>2180</v>
      </c>
      <c r="C127">
        <f>'All Epitope Lists'!$R128</f>
        <v>2209</v>
      </c>
    </row>
    <row r="128" spans="1:3" x14ac:dyDescent="0.2">
      <c r="A128" t="str">
        <f>'All Epitope Lists'!$P129</f>
        <v>B1401_Pol_IL8</v>
      </c>
      <c r="B128">
        <f>'All Epitope Lists'!$Q129</f>
        <v>2195</v>
      </c>
      <c r="C128">
        <f>'All Epitope Lists'!$R129</f>
        <v>2218</v>
      </c>
    </row>
    <row r="129" spans="1:3" x14ac:dyDescent="0.2">
      <c r="A129" t="str">
        <f>'All Epitope Lists'!$P130</f>
        <v>B73_Pol_IP9</v>
      </c>
      <c r="B129">
        <f>'All Epitope Lists'!$Q130</f>
        <v>2195</v>
      </c>
      <c r="C129">
        <f>'All Epitope Lists'!$R130</f>
        <v>2221</v>
      </c>
    </row>
    <row r="130" spans="1:3" x14ac:dyDescent="0.2">
      <c r="A130" t="str">
        <f>'All Epitope Lists'!$P131</f>
        <v>B5401_Pol_LA10</v>
      </c>
      <c r="B130">
        <f>'All Epitope Lists'!$Q131</f>
        <v>2216</v>
      </c>
      <c r="C130">
        <f>'All Epitope Lists'!$R131</f>
        <v>2245</v>
      </c>
    </row>
    <row r="131" spans="1:3" x14ac:dyDescent="0.2">
      <c r="A131" t="str">
        <f>'All Epitope Lists'!$P132</f>
        <v>B7_Pol_SM9</v>
      </c>
      <c r="B131">
        <f>'All Epitope Lists'!$Q132</f>
        <v>2237</v>
      </c>
      <c r="C131">
        <f>'All Epitope Lists'!$R132</f>
        <v>2263</v>
      </c>
    </row>
    <row r="132" spans="1:3" x14ac:dyDescent="0.2">
      <c r="A132" t="str">
        <f>'All Epitope Lists'!$P133</f>
        <v>A1101_Pol_SK11</v>
      </c>
      <c r="B132">
        <f>'All Epitope Lists'!$Q133</f>
        <v>2237</v>
      </c>
      <c r="C132">
        <f>'All Epitope Lists'!$R133</f>
        <v>2269</v>
      </c>
    </row>
    <row r="133" spans="1:3" x14ac:dyDescent="0.2">
      <c r="A133" t="str">
        <f>'All Epitope Lists'!$P134</f>
        <v>B0702_Pol_SK11</v>
      </c>
      <c r="B133">
        <f>'All Epitope Lists'!$Q134</f>
        <v>2237</v>
      </c>
      <c r="C133">
        <f>'All Epitope Lists'!$R134</f>
        <v>2269</v>
      </c>
    </row>
    <row r="134" spans="1:3" x14ac:dyDescent="0.2">
      <c r="A134" t="str">
        <f>'All Epitope Lists'!$P135</f>
        <v>A0301_Pol_AK9</v>
      </c>
      <c r="B134">
        <f>'All Epitope Lists'!$Q135</f>
        <v>2243</v>
      </c>
      <c r="C134">
        <f>'All Epitope Lists'!$R135</f>
        <v>2269</v>
      </c>
    </row>
    <row r="135" spans="1:3" x14ac:dyDescent="0.2">
      <c r="A135" t="str">
        <f>'All Epitope Lists'!$P136</f>
        <v>A1101_Pol_AK9</v>
      </c>
      <c r="B135">
        <f>'All Epitope Lists'!$Q136</f>
        <v>2243</v>
      </c>
      <c r="C135">
        <f>'All Epitope Lists'!$R136</f>
        <v>2269</v>
      </c>
    </row>
    <row r="136" spans="1:3" x14ac:dyDescent="0.2">
      <c r="A136" t="str">
        <f>'All Epitope Lists'!$P137</f>
        <v>A3002_Pol_KY9</v>
      </c>
      <c r="B136">
        <f>'All Epitope Lists'!$Q137</f>
        <v>2288</v>
      </c>
      <c r="C136">
        <f>'All Epitope Lists'!$R137</f>
        <v>2314</v>
      </c>
    </row>
    <row r="137" spans="1:3" x14ac:dyDescent="0.2">
      <c r="A137" t="str">
        <f>'All Epitope Lists'!$P138</f>
        <v>Cw1202_Pol_KY9</v>
      </c>
      <c r="B137">
        <f>'All Epitope Lists'!$Q138</f>
        <v>2288</v>
      </c>
      <c r="C137">
        <f>'All Epitope Lists'!$R138</f>
        <v>2314</v>
      </c>
    </row>
    <row r="138" spans="1:3" x14ac:dyDescent="0.2">
      <c r="A138" t="str">
        <f>'All Epitope Lists'!$P139</f>
        <v>B18_Pol_NY9</v>
      </c>
      <c r="B138">
        <f>'All Epitope Lists'!$Q139</f>
        <v>2294</v>
      </c>
      <c r="C138">
        <f>'All Epitope Lists'!$R139</f>
        <v>2320</v>
      </c>
    </row>
    <row r="139" spans="1:3" x14ac:dyDescent="0.2">
      <c r="A139" t="str">
        <f>'All Epitope Lists'!$P140</f>
        <v>B3501_Pol_HY9</v>
      </c>
      <c r="B139">
        <f>'All Epitope Lists'!$Q140</f>
        <v>2294</v>
      </c>
      <c r="C139">
        <f>'All Epitope Lists'!$R140</f>
        <v>2320</v>
      </c>
    </row>
    <row r="140" spans="1:3" x14ac:dyDescent="0.2">
      <c r="A140" t="str">
        <f>'All Epitope Lists'!$P141</f>
        <v>B1801_Pol_ED9</v>
      </c>
      <c r="B140">
        <f>'All Epitope Lists'!$Q141</f>
        <v>2300</v>
      </c>
      <c r="C140">
        <f>'All Epitope Lists'!$R141</f>
        <v>2326</v>
      </c>
    </row>
    <row r="141" spans="1:3" x14ac:dyDescent="0.2">
      <c r="A141" t="str">
        <f>'All Epitope Lists'!$P142</f>
        <v>A0201_Pol_VL9</v>
      </c>
      <c r="B141">
        <f>'All Epitope Lists'!$Q142</f>
        <v>2306</v>
      </c>
      <c r="C141">
        <f>'All Epitope Lists'!$R142</f>
        <v>2332</v>
      </c>
    </row>
    <row r="142" spans="1:3" x14ac:dyDescent="0.2">
      <c r="A142" t="str">
        <f>'All Epitope Lists'!$P143</f>
        <v>A0201_Pol_VV11</v>
      </c>
      <c r="B142">
        <f>'All Epitope Lists'!$Q143</f>
        <v>2306</v>
      </c>
      <c r="C142">
        <f>'All Epitope Lists'!$R143</f>
        <v>2338</v>
      </c>
    </row>
    <row r="143" spans="1:3" x14ac:dyDescent="0.2">
      <c r="A143" t="str">
        <f>'All Epitope Lists'!$P145</f>
        <v>B4001_Pol_IL9</v>
      </c>
      <c r="B143">
        <f>'All Epitope Lists'!$Q145</f>
        <v>2375</v>
      </c>
      <c r="C143">
        <f>'All Epitope Lists'!$R145</f>
        <v>2401</v>
      </c>
    </row>
    <row r="144" spans="1:3" x14ac:dyDescent="0.2">
      <c r="A144" t="str">
        <f>'All Epitope Lists'!$P146</f>
        <v>B5701_Pol_IW9</v>
      </c>
      <c r="B144">
        <f>'All Epitope Lists'!$Q146</f>
        <v>2501</v>
      </c>
      <c r="C144">
        <f>'All Epitope Lists'!$R146</f>
        <v>2527</v>
      </c>
    </row>
    <row r="145" spans="1:3" x14ac:dyDescent="0.2">
      <c r="A145" t="str">
        <f>'All Epitope Lists'!$P147</f>
        <v>B1501_Pol_LY12</v>
      </c>
      <c r="B145">
        <f>'All Epitope Lists'!$Q147</f>
        <v>2549</v>
      </c>
      <c r="C145">
        <f>'All Epitope Lists'!$R147</f>
        <v>2584</v>
      </c>
    </row>
    <row r="146" spans="1:3" x14ac:dyDescent="0.2">
      <c r="A146" t="str">
        <f>'All Epitope Lists'!$P148</f>
        <v>A3002_Pol_KIY9</v>
      </c>
      <c r="B146">
        <f>'All Epitope Lists'!$Q148</f>
        <v>2558</v>
      </c>
      <c r="C146">
        <f>'All Epitope Lists'!$R148</f>
        <v>2584</v>
      </c>
    </row>
    <row r="147" spans="1:3" x14ac:dyDescent="0.2">
      <c r="A147" t="str">
        <f>'All Epitope Lists'!$P149</f>
        <v>A0301_Pol_QR9</v>
      </c>
      <c r="B147">
        <f>'All Epitope Lists'!$Q149</f>
        <v>2576</v>
      </c>
      <c r="C147">
        <f>'All Epitope Lists'!$R149</f>
        <v>2602</v>
      </c>
    </row>
    <row r="148" spans="1:3" x14ac:dyDescent="0.2">
      <c r="A148" t="str">
        <f>'All Epitope Lists'!$P150</f>
        <v>B4201_Pol_YL9</v>
      </c>
      <c r="B148">
        <f>'All Epitope Lists'!$Q150</f>
        <v>2582</v>
      </c>
      <c r="C148">
        <f>'All Epitope Lists'!$R150</f>
        <v>2608</v>
      </c>
    </row>
    <row r="149" spans="1:3" x14ac:dyDescent="0.2">
      <c r="A149" t="str">
        <f>'All Epitope Lists'!$P151</f>
        <v>B3501_Pol_IL9</v>
      </c>
      <c r="B149">
        <f>'All Epitope Lists'!$Q151</f>
        <v>2648</v>
      </c>
      <c r="C149">
        <f>'All Epitope Lists'!$R151</f>
        <v>2674</v>
      </c>
    </row>
    <row r="150" spans="1:3" x14ac:dyDescent="0.2">
      <c r="A150" t="str">
        <f>'All Epitope Lists'!$P152</f>
        <v>B5101_Pol_IL9</v>
      </c>
      <c r="B150">
        <f>'All Epitope Lists'!$Q152</f>
        <v>2648</v>
      </c>
      <c r="C150">
        <f>'All Epitope Lists'!$R152</f>
        <v>2674</v>
      </c>
    </row>
    <row r="151" spans="1:3" x14ac:dyDescent="0.2">
      <c r="A151" t="str">
        <f>'All Epitope Lists'!$P153</f>
        <v>A0201_Pol_IV9</v>
      </c>
      <c r="B151">
        <f>'All Epitope Lists'!$Q153</f>
        <v>2696</v>
      </c>
      <c r="C151">
        <f>'All Epitope Lists'!$R153</f>
        <v>2722</v>
      </c>
    </row>
    <row r="152" spans="1:3" x14ac:dyDescent="0.2">
      <c r="A152" t="str">
        <f>'All Epitope Lists'!$P154</f>
        <v>B1501_Pol_IY10</v>
      </c>
      <c r="B152">
        <f>'All Epitope Lists'!$Q154</f>
        <v>2696</v>
      </c>
      <c r="C152">
        <f>'All Epitope Lists'!$R154</f>
        <v>2725</v>
      </c>
    </row>
    <row r="153" spans="1:3" x14ac:dyDescent="0.2">
      <c r="A153" t="str">
        <f>'All Epitope Lists'!$P155</f>
        <v>Cw1202_Pol_IY10</v>
      </c>
      <c r="B153">
        <f>'All Epitope Lists'!$Q155</f>
        <v>2696</v>
      </c>
      <c r="C153">
        <f>'All Epitope Lists'!$R155</f>
        <v>2725</v>
      </c>
    </row>
    <row r="154" spans="1:3" x14ac:dyDescent="0.2">
      <c r="A154" t="str">
        <f>'All Epitope Lists'!$P156</f>
        <v>A24_Pol_VL9</v>
      </c>
      <c r="B154">
        <f>'All Epitope Lists'!$Q156</f>
        <v>2720</v>
      </c>
      <c r="C154">
        <f>'All Epitope Lists'!$R156</f>
        <v>2747</v>
      </c>
    </row>
    <row r="155" spans="1:3" x14ac:dyDescent="0.2">
      <c r="A155" t="str">
        <f>'All Epitope Lists'!$P157</f>
        <v>B13_Pol_GI9</v>
      </c>
      <c r="B155">
        <f>'All Epitope Lists'!$Q157</f>
        <v>2768</v>
      </c>
      <c r="C155">
        <f>'All Epitope Lists'!$R157</f>
        <v>2794</v>
      </c>
    </row>
    <row r="156" spans="1:3" x14ac:dyDescent="0.2">
      <c r="A156" t="str">
        <f>'All Epitope Lists'!$P158</f>
        <v>A1101_Pol_IK10</v>
      </c>
      <c r="B156">
        <f>'All Epitope Lists'!$Q158</f>
        <v>2792</v>
      </c>
      <c r="C156">
        <f>'All Epitope Lists'!$R158</f>
        <v>2821</v>
      </c>
    </row>
    <row r="157" spans="1:3" x14ac:dyDescent="0.2">
      <c r="A157" t="str">
        <f>'All Epitope Lists'!$P159</f>
        <v>A3002_Pol_RV10</v>
      </c>
      <c r="B157">
        <f>'All Epitope Lists'!$Q159</f>
        <v>2837</v>
      </c>
      <c r="C157">
        <f>'All Epitope Lists'!$R159</f>
        <v>2866</v>
      </c>
    </row>
    <row r="158" spans="1:3" x14ac:dyDescent="0.2">
      <c r="A158" t="str">
        <f>'All Epitope Lists'!$P160</f>
        <v>A0301_Pol_RK11</v>
      </c>
      <c r="B158">
        <f>'All Epitope Lists'!$Q160</f>
        <v>2837</v>
      </c>
      <c r="C158">
        <f>'All Epitope Lists'!$R160</f>
        <v>2869</v>
      </c>
    </row>
    <row r="159" spans="1:3" x14ac:dyDescent="0.2">
      <c r="A159" t="str">
        <f>'All Epitope Lists'!$P161</f>
        <v>B57_Pol_IW9</v>
      </c>
      <c r="B159">
        <f>'All Epitope Lists'!$Q161</f>
        <v>2894</v>
      </c>
      <c r="C159">
        <f>'All Epitope Lists'!$R161</f>
        <v>2920</v>
      </c>
    </row>
    <row r="160" spans="1:3" x14ac:dyDescent="0.2">
      <c r="A160" t="str">
        <f>'All Epitope Lists'!$P162</f>
        <v>B5801_Pol_IW9</v>
      </c>
      <c r="B160">
        <f>'All Epitope Lists'!$Q162</f>
        <v>2894</v>
      </c>
      <c r="C160">
        <f>'All Epitope Lists'!$R162</f>
        <v>2920</v>
      </c>
    </row>
    <row r="161" spans="1:3" x14ac:dyDescent="0.2">
      <c r="A161" t="str">
        <f>'All Epitope Lists'!$P163</f>
        <v>A3201_Pol_PW10</v>
      </c>
      <c r="B161">
        <f>'All Epitope Lists'!$Q163</f>
        <v>2945</v>
      </c>
      <c r="C161">
        <f>'All Epitope Lists'!$R163</f>
        <v>2974</v>
      </c>
    </row>
    <row r="162" spans="1:3" x14ac:dyDescent="0.2">
      <c r="A162" t="str">
        <f>'All Epitope Lists'!$P164</f>
        <v>B49_Pol_TW10</v>
      </c>
      <c r="B162">
        <f>'All Epitope Lists'!$Q164</f>
        <v>2960</v>
      </c>
      <c r="C162">
        <f>'All Epitope Lists'!$R164</f>
        <v>2989</v>
      </c>
    </row>
    <row r="163" spans="1:3" x14ac:dyDescent="0.2">
      <c r="A163" t="str">
        <f>'All Epitope Lists'!$P165</f>
        <v>A6802_Pol_GA10</v>
      </c>
      <c r="B163">
        <f>'All Epitope Lists'!$Q165</f>
        <v>3077</v>
      </c>
      <c r="C163">
        <f>'All Epitope Lists'!$R165</f>
        <v>3106</v>
      </c>
    </row>
    <row r="164" spans="1:3" x14ac:dyDescent="0.2">
      <c r="A164" t="str">
        <f>'All Epitope Lists'!$P166</f>
        <v>A6802_Pol_EA8</v>
      </c>
      <c r="B164">
        <f>'All Epitope Lists'!$Q166</f>
        <v>3083</v>
      </c>
      <c r="C164">
        <f>'All Epitope Lists'!$R166</f>
        <v>3106</v>
      </c>
    </row>
    <row r="165" spans="1:3" x14ac:dyDescent="0.2">
      <c r="A165" t="str">
        <f>'All Epitope Lists'!$P167</f>
        <v>A2601_Pol_ER11</v>
      </c>
      <c r="B165">
        <f>'All Epitope Lists'!$Q167</f>
        <v>3083</v>
      </c>
      <c r="C165">
        <f>'All Epitope Lists'!$R167</f>
        <v>3115</v>
      </c>
    </row>
    <row r="166" spans="1:3" x14ac:dyDescent="0.2">
      <c r="A166" t="str">
        <f>'All Epitope Lists'!$P168</f>
        <v>A66_Pol_ER11</v>
      </c>
      <c r="B166">
        <f>'All Epitope Lists'!$Q168</f>
        <v>3083</v>
      </c>
      <c r="C166">
        <f>'All Epitope Lists'!$R168</f>
        <v>3115</v>
      </c>
    </row>
    <row r="167" spans="1:3" x14ac:dyDescent="0.2">
      <c r="A167" t="str">
        <f>'All Epitope Lists'!$P169</f>
        <v>A2601_Pol_EY9</v>
      </c>
      <c r="B167">
        <f>'All Epitope Lists'!$Q169</f>
        <v>3116</v>
      </c>
      <c r="C167">
        <f>'All Epitope Lists'!$R169</f>
        <v>3142</v>
      </c>
    </row>
    <row r="168" spans="1:3" x14ac:dyDescent="0.2">
      <c r="A168" t="str">
        <f>'All Epitope Lists'!$P170</f>
        <v>Cw0802_Pol_IL9</v>
      </c>
      <c r="B168">
        <f>'All Epitope Lists'!$Q170</f>
        <v>3254</v>
      </c>
      <c r="C168">
        <f>'All Epitope Lists'!$R170</f>
        <v>3280</v>
      </c>
    </row>
    <row r="169" spans="1:3" x14ac:dyDescent="0.2">
      <c r="A169" t="str">
        <f>'All Epitope Lists'!$P171</f>
        <v>C08_Pol_VL8</v>
      </c>
      <c r="B169">
        <f>'All Epitope Lists'!$Q171</f>
        <v>3257</v>
      </c>
      <c r="C169">
        <f>'All Epitope Lists'!$R171</f>
        <v>3280</v>
      </c>
    </row>
    <row r="170" spans="1:3" x14ac:dyDescent="0.2">
      <c r="A170" t="str">
        <f>'All Epitope Lists'!$P172</f>
        <v>B1503_Pol_VI10</v>
      </c>
      <c r="B170">
        <f>'All Epitope Lists'!$Q172</f>
        <v>3257</v>
      </c>
      <c r="C170">
        <f>'All Epitope Lists'!$R172</f>
        <v>3286</v>
      </c>
    </row>
    <row r="171" spans="1:3" x14ac:dyDescent="0.2">
      <c r="A171" t="str">
        <f>'All Epitope Lists'!$P173</f>
        <v>A1101_Pol_QK9</v>
      </c>
      <c r="B171">
        <f>'All Epitope Lists'!$Q173</f>
        <v>3329</v>
      </c>
      <c r="C171">
        <f>'All Epitope Lists'!$R173</f>
        <v>3355</v>
      </c>
    </row>
    <row r="172" spans="1:3" x14ac:dyDescent="0.2">
      <c r="A172" t="str">
        <f>'All Epitope Lists'!$P174</f>
        <v>A0201_Pol_KV10</v>
      </c>
      <c r="B172">
        <f>'All Epitope Lists'!$Q174</f>
        <v>3419</v>
      </c>
      <c r="C172">
        <f>'All Epitope Lists'!$R174</f>
        <v>3448</v>
      </c>
    </row>
    <row r="173" spans="1:3" x14ac:dyDescent="0.2">
      <c r="A173" t="str">
        <f>'All Epitope Lists'!$P175</f>
        <v>B81_Pol_LA9</v>
      </c>
      <c r="B173">
        <f>'All Epitope Lists'!$Q175</f>
        <v>3449</v>
      </c>
      <c r="C173">
        <f>'All Epitope Lists'!$R175</f>
        <v>3475</v>
      </c>
    </row>
    <row r="174" spans="1:3" x14ac:dyDescent="0.2">
      <c r="A174" t="str">
        <f>'All Epitope Lists'!$P176</f>
        <v>B4201_Pol_LI9</v>
      </c>
      <c r="B174">
        <f>'All Epitope Lists'!$Q176</f>
        <v>3533</v>
      </c>
      <c r="C174">
        <f>'All Epitope Lists'!$R176</f>
        <v>3559</v>
      </c>
    </row>
    <row r="175" spans="1:3" x14ac:dyDescent="0.2">
      <c r="A175" t="str">
        <f>'All Epitope Lists'!$P177</f>
        <v>B51_Pol_LI9</v>
      </c>
      <c r="B175">
        <f>'All Epitope Lists'!$Q177</f>
        <v>3533</v>
      </c>
      <c r="C175">
        <f>'All Epitope Lists'!$R177</f>
        <v>3559</v>
      </c>
    </row>
    <row r="176" spans="1:3" x14ac:dyDescent="0.2">
      <c r="A176" t="str">
        <f>'All Epitope Lists'!$P178</f>
        <v>B1510_Pol_TL9</v>
      </c>
      <c r="B176">
        <f>'All Epitope Lists'!$Q178</f>
        <v>3647</v>
      </c>
      <c r="C176">
        <f>'All Epitope Lists'!$R178</f>
        <v>3673</v>
      </c>
    </row>
    <row r="177" spans="1:3" x14ac:dyDescent="0.2">
      <c r="A177" t="str">
        <f>'All Epitope Lists'!$P179</f>
        <v>B5401_Pol_HA9</v>
      </c>
      <c r="B177">
        <f>'All Epitope Lists'!$Q179</f>
        <v>3683</v>
      </c>
      <c r="C177">
        <f>'All Epitope Lists'!$R179</f>
        <v>3709</v>
      </c>
    </row>
    <row r="178" spans="1:3" x14ac:dyDescent="0.2">
      <c r="A178" t="str">
        <f>'All Epitope Lists'!$P180</f>
        <v>B4002_Pol_IT10</v>
      </c>
      <c r="B178">
        <f>'All Epitope Lists'!$Q180</f>
        <v>3701</v>
      </c>
      <c r="C178">
        <f>'All Epitope Lists'!$R180</f>
        <v>3730</v>
      </c>
    </row>
    <row r="179" spans="1:3" x14ac:dyDescent="0.2">
      <c r="A179" t="str">
        <f>'All Epitope Lists'!$P181</f>
        <v>Cw5_Pol_HF8</v>
      </c>
      <c r="B179">
        <f>'All Epitope Lists'!$Q181</f>
        <v>3791</v>
      </c>
      <c r="C179">
        <f>'All Epitope Lists'!$R181</f>
        <v>3814</v>
      </c>
    </row>
    <row r="180" spans="1:3" x14ac:dyDescent="0.2">
      <c r="A180" t="str">
        <f>'All Epitope Lists'!$P182</f>
        <v>C05_Pol_HT9</v>
      </c>
      <c r="B180">
        <f>'All Epitope Lists'!$Q182</f>
        <v>3791</v>
      </c>
      <c r="C180">
        <f>'All Epitope Lists'!$R182</f>
        <v>3817</v>
      </c>
    </row>
    <row r="181" spans="1:3" x14ac:dyDescent="0.2">
      <c r="A181" t="str">
        <f>'All Epitope Lists'!$P183</f>
        <v>B57_Pol_SW10</v>
      </c>
      <c r="B181">
        <f>'All Epitope Lists'!$Q183</f>
        <v>3818</v>
      </c>
      <c r="C181">
        <f>'All Epitope Lists'!$R183</f>
        <v>3847</v>
      </c>
    </row>
    <row r="182" spans="1:3" x14ac:dyDescent="0.2">
      <c r="A182" t="str">
        <f>'All Epitope Lists'!$P184</f>
        <v>B1503_Pol_IY9</v>
      </c>
      <c r="B182">
        <f>'All Epitope Lists'!$Q184</f>
        <v>3854</v>
      </c>
      <c r="C182">
        <f>'All Epitope Lists'!$R184</f>
        <v>3880</v>
      </c>
    </row>
    <row r="183" spans="1:3" x14ac:dyDescent="0.2">
      <c r="A183" t="str">
        <f>'All Epitope Lists'!$P185</f>
        <v>Cw18_Pol_VL8</v>
      </c>
      <c r="B183">
        <f>'All Epitope Lists'!$Q185</f>
        <v>3944</v>
      </c>
      <c r="C183">
        <f>'All Epitope Lists'!$R185</f>
        <v>3967</v>
      </c>
    </row>
    <row r="184" spans="1:3" x14ac:dyDescent="0.2">
      <c r="A184" t="str">
        <f>'All Epitope Lists'!$P186</f>
        <v>B5701_Pol_KF9</v>
      </c>
      <c r="B184">
        <f>'All Epitope Lists'!$Q186</f>
        <v>3968</v>
      </c>
      <c r="C184">
        <f>'All Epitope Lists'!$R186</f>
        <v>3994</v>
      </c>
    </row>
    <row r="185" spans="1:3" x14ac:dyDescent="0.2">
      <c r="A185" t="str">
        <f>'All Epitope Lists'!$P187</f>
        <v>A0301_Pol_AK10</v>
      </c>
      <c r="B185">
        <f>'All Epitope Lists'!$Q187</f>
        <v>3986</v>
      </c>
      <c r="C185">
        <f>'All Epitope Lists'!$R187</f>
        <v>4015</v>
      </c>
    </row>
    <row r="186" spans="1:3" x14ac:dyDescent="0.2">
      <c r="A186" t="str">
        <f>'All Epitope Lists'!$P188</f>
        <v>A1101_Pol_AK10</v>
      </c>
      <c r="B186">
        <f>'All Epitope Lists'!$Q188</f>
        <v>3986</v>
      </c>
      <c r="C186">
        <f>'All Epitope Lists'!$R188</f>
        <v>4015</v>
      </c>
    </row>
    <row r="187" spans="1:3" x14ac:dyDescent="0.2">
      <c r="A187" t="str">
        <f>'All Epitope Lists'!$P189</f>
        <v>B1503_Pol_FY10</v>
      </c>
      <c r="B187">
        <f>'All Epitope Lists'!$Q189</f>
        <v>4004</v>
      </c>
      <c r="C187">
        <f>'All Epitope Lists'!$R189</f>
        <v>4033</v>
      </c>
    </row>
    <row r="188" spans="1:3" x14ac:dyDescent="0.2">
      <c r="A188" t="str">
        <f>'All Epitope Lists'!$P190</f>
        <v>B2705_Pol_KY9</v>
      </c>
      <c r="B188">
        <f>'All Epitope Lists'!$Q190</f>
        <v>4007</v>
      </c>
      <c r="C188">
        <f>'All Epitope Lists'!$R190</f>
        <v>4033</v>
      </c>
    </row>
    <row r="189" spans="1:3" x14ac:dyDescent="0.2">
      <c r="A189" t="str">
        <f>'All Epitope Lists'!$P191</f>
        <v>B4002_Pol_GI8</v>
      </c>
      <c r="B189">
        <f>'All Epitope Lists'!$Q191</f>
        <v>4040</v>
      </c>
      <c r="C189">
        <f>'All Epitope Lists'!$R191</f>
        <v>4063</v>
      </c>
    </row>
    <row r="190" spans="1:3" x14ac:dyDescent="0.2">
      <c r="A190" t="str">
        <f>'All Epitope Lists'!$P192</f>
        <v>A11_Pol_IK9</v>
      </c>
      <c r="B190">
        <f>'All Epitope Lists'!$Q192</f>
        <v>4058</v>
      </c>
      <c r="C190">
        <f>'All Epitope Lists'!$R192</f>
        <v>4084</v>
      </c>
    </row>
    <row r="191" spans="1:3" x14ac:dyDescent="0.2">
      <c r="A191" t="str">
        <f>'All Epitope Lists'!$P193</f>
        <v>B5201_Pol_LI8</v>
      </c>
      <c r="B191">
        <f>'All Epitope Lists'!$Q193</f>
        <v>4088</v>
      </c>
      <c r="C191">
        <f>'All Epitope Lists'!$R193</f>
        <v>4111</v>
      </c>
    </row>
    <row r="192" spans="1:3" x14ac:dyDescent="0.2">
      <c r="A192" t="str">
        <f>'All Epitope Lists'!$P194</f>
        <v>A3002_Pol_KYY9</v>
      </c>
      <c r="B192">
        <f>'All Epitope Lists'!$Q194</f>
        <v>4106</v>
      </c>
      <c r="C192">
        <f>'All Epitope Lists'!$R194</f>
        <v>4132</v>
      </c>
    </row>
    <row r="193" spans="1:3" x14ac:dyDescent="0.2">
      <c r="A193" t="str">
        <f>'All Epitope Lists'!$P195</f>
        <v>B38_Pol_YW9</v>
      </c>
      <c r="B193">
        <f>'All Epitope Lists'!$Q195</f>
        <v>4130</v>
      </c>
      <c r="C193">
        <f>'All Epitope Lists'!$R195</f>
        <v>4156</v>
      </c>
    </row>
    <row r="194" spans="1:3" x14ac:dyDescent="0.2">
      <c r="A194" t="str">
        <f>'All Epitope Lists'!$P196</f>
        <v>Cw18_Pol_RR9</v>
      </c>
      <c r="B194">
        <f>'All Epitope Lists'!$Q196</f>
        <v>4159</v>
      </c>
      <c r="C194">
        <f>'All Epitope Lists'!$R196</f>
        <v>4188</v>
      </c>
    </row>
    <row r="195" spans="1:3" x14ac:dyDescent="0.2">
      <c r="A195" t="str">
        <f>'All Epitope Lists'!$P197</f>
        <v>B0801_Pol_VI10</v>
      </c>
      <c r="B195">
        <f>'All Epitope Lists'!$Q197</f>
        <v>4226</v>
      </c>
      <c r="C195">
        <f>'All Epitope Lists'!$R197</f>
        <v>4255</v>
      </c>
    </row>
    <row r="196" spans="1:3" x14ac:dyDescent="0.2">
      <c r="A196" t="str">
        <f>'All Epitope Lists'!$P198</f>
        <v>B42_Pol_VI9</v>
      </c>
      <c r="B196">
        <f>'All Epitope Lists'!$Q198</f>
        <v>4229</v>
      </c>
      <c r="C196">
        <f>'All Epitope Lists'!$R198</f>
        <v>4255</v>
      </c>
    </row>
    <row r="197" spans="1:3" x14ac:dyDescent="0.2">
      <c r="A197" t="str">
        <f>'All Epitope Lists'!$P199</f>
        <v>B1503_Pol_RY9</v>
      </c>
      <c r="B197">
        <f>'All Epitope Lists'!$Q199</f>
        <v>4238</v>
      </c>
      <c r="C197">
        <f>'All Epitope Lists'!$R199</f>
        <v>4264</v>
      </c>
    </row>
    <row r="198" spans="1:3" x14ac:dyDescent="0.2">
      <c r="A198" t="str">
        <f>'All Epitope Lists'!$P200</f>
        <v>B0801_Pol_RK11</v>
      </c>
      <c r="B198">
        <f>'All Epitope Lists'!$Q200</f>
        <v>4238</v>
      </c>
      <c r="C198">
        <f>'All Epitope Lists'!$R200</f>
        <v>4270</v>
      </c>
    </row>
    <row r="199" spans="1:3" x14ac:dyDescent="0.2">
      <c r="A199" t="str">
        <f>'All Epitope Lists'!$P201</f>
        <v>B0801_Pol_KK8</v>
      </c>
      <c r="B199">
        <f>'All Epitope Lists'!$Q201</f>
        <v>4247</v>
      </c>
      <c r="C199">
        <f>'All Epitope Lists'!$R201</f>
        <v>4270</v>
      </c>
    </row>
    <row r="200" spans="1:3" x14ac:dyDescent="0.2">
      <c r="A200" t="str">
        <f>'All Epitope Lists'!$P202</f>
        <v>B4201_Pol_IM9</v>
      </c>
      <c r="B200">
        <f>'All Epitope Lists'!$Q202</f>
        <v>4250</v>
      </c>
      <c r="C200">
        <f>'All Epitope Lists'!$R202</f>
        <v>4276</v>
      </c>
    </row>
    <row r="201" spans="1:3" x14ac:dyDescent="0.2">
      <c r="A201" t="str">
        <f>'All Epitope Lists'!$P203</f>
        <v>A0301_Vif_RK10</v>
      </c>
      <c r="B201">
        <f>'All Epitope Lists'!$Q203</f>
        <v>4311</v>
      </c>
      <c r="C201">
        <f>'All Epitope Lists'!$R203</f>
        <v>4340</v>
      </c>
    </row>
    <row r="202" spans="1:3" x14ac:dyDescent="0.2">
      <c r="A202" t="str">
        <f>'All Epitope Lists'!$P204</f>
        <v>A3001_Vif_IK9</v>
      </c>
      <c r="B202">
        <f>'All Epitope Lists'!$Q204</f>
        <v>4314</v>
      </c>
      <c r="C202">
        <f>'All Epitope Lists'!$R204</f>
        <v>4340</v>
      </c>
    </row>
    <row r="203" spans="1:3" x14ac:dyDescent="0.2">
      <c r="A203" t="str">
        <f>'All Epitope Lists'!$P205</f>
        <v>B2705_Vif_IH10</v>
      </c>
      <c r="B203">
        <f>'All Epitope Lists'!$Q205</f>
        <v>4314</v>
      </c>
      <c r="C203">
        <f>'All Epitope Lists'!$R205</f>
        <v>4343</v>
      </c>
    </row>
    <row r="204" spans="1:3" x14ac:dyDescent="0.2">
      <c r="A204" t="str">
        <f>'All Epitope Lists'!$P206</f>
        <v>A0301_Vif_HK9</v>
      </c>
      <c r="B204">
        <f>'All Epitope Lists'!$Q206</f>
        <v>4344</v>
      </c>
      <c r="C204">
        <f>'All Epitope Lists'!$R206</f>
        <v>4370</v>
      </c>
    </row>
    <row r="205" spans="1:3" x14ac:dyDescent="0.2">
      <c r="A205" t="str">
        <f>'All Epitope Lists'!$P207</f>
        <v>B5701_Vif_IF9</v>
      </c>
      <c r="B205">
        <f>'All Epitope Lists'!$Q207</f>
        <v>4353</v>
      </c>
      <c r="C205">
        <f>'All Epitope Lists'!$R207</f>
        <v>4379</v>
      </c>
    </row>
    <row r="206" spans="1:3" x14ac:dyDescent="0.2">
      <c r="A206" t="str">
        <f>'All Epitope Lists'!$P208</f>
        <v>B0702_Vif_HI10</v>
      </c>
      <c r="B206">
        <f>'All Epitope Lists'!$Q208</f>
        <v>4404</v>
      </c>
      <c r="C206">
        <f>'All Epitope Lists'!$R208</f>
        <v>4433</v>
      </c>
    </row>
    <row r="207" spans="1:3" x14ac:dyDescent="0.2">
      <c r="A207" t="str">
        <f>'All Epitope Lists'!$P209</f>
        <v>B51_Vif_II10</v>
      </c>
      <c r="B207">
        <f>'All Epitope Lists'!$Q209</f>
        <v>4431</v>
      </c>
      <c r="C207">
        <f>'All Epitope Lists'!$R209</f>
        <v>4460</v>
      </c>
    </row>
    <row r="208" spans="1:3" x14ac:dyDescent="0.2">
      <c r="A208" t="str">
        <f>'All Epitope Lists'!$P210</f>
        <v>B1510_Vif_WI9</v>
      </c>
      <c r="B208">
        <f>'All Epitope Lists'!$Q210</f>
        <v>4497</v>
      </c>
      <c r="C208">
        <f>'All Epitope Lists'!$R210</f>
        <v>4523</v>
      </c>
    </row>
    <row r="209" spans="1:3" x14ac:dyDescent="0.2">
      <c r="A209" t="str">
        <f>'All Epitope Lists'!$P211</f>
        <v>B3801_Vif_WI9</v>
      </c>
      <c r="B209">
        <f>'All Epitope Lists'!$Q211</f>
        <v>4497</v>
      </c>
      <c r="C209">
        <f>'All Epitope Lists'!$R211</f>
        <v>4523</v>
      </c>
    </row>
    <row r="210" spans="1:3" x14ac:dyDescent="0.2">
      <c r="A210" t="str">
        <f>'All Epitope Lists'!$P212</f>
        <v>B5703_Vif_LW9</v>
      </c>
      <c r="B210">
        <f>'All Epitope Lists'!$Q212</f>
        <v>4503</v>
      </c>
      <c r="C210">
        <f>'All Epitope Lists'!$R212</f>
        <v>4529</v>
      </c>
    </row>
    <row r="211" spans="1:3" x14ac:dyDescent="0.2">
      <c r="A211" t="str">
        <f>'All Epitope Lists'!$P213</f>
        <v>B1801_Vif_IY8</v>
      </c>
      <c r="B211">
        <f>'All Epitope Lists'!$Q213</f>
        <v>4521</v>
      </c>
      <c r="C211">
        <f>'All Epitope Lists'!$R213</f>
        <v>4544</v>
      </c>
    </row>
    <row r="212" spans="1:3" x14ac:dyDescent="0.2">
      <c r="A212" t="str">
        <f>'All Epitope Lists'!$P214</f>
        <v>B1801_Vif_LY10</v>
      </c>
      <c r="B212">
        <f>'All Epitope Lists'!$Q214</f>
        <v>4566</v>
      </c>
      <c r="C212">
        <f>'All Epitope Lists'!$R214</f>
        <v>4595</v>
      </c>
    </row>
    <row r="213" spans="1:3" x14ac:dyDescent="0.2">
      <c r="A213" t="str">
        <f>'All Epitope Lists'!$P215</f>
        <v>A0301_Vif_KK11</v>
      </c>
      <c r="B213">
        <f>'All Epitope Lists'!$Q215</f>
        <v>4734</v>
      </c>
      <c r="C213">
        <f>'All Epitope Lists'!$R215</f>
        <v>4766</v>
      </c>
    </row>
    <row r="214" spans="1:3" x14ac:dyDescent="0.2">
      <c r="A214" t="str">
        <f>'All Epitope Lists'!$P216</f>
        <v>B51_Vpr_EI9</v>
      </c>
      <c r="B214">
        <f>'All Epitope Lists'!$Q216</f>
        <v>4865</v>
      </c>
      <c r="C214">
        <f>'All Epitope Lists'!$R216</f>
        <v>4891</v>
      </c>
    </row>
    <row r="215" spans="1:3" x14ac:dyDescent="0.2">
      <c r="A215" t="str">
        <f>'All Epitope Lists'!$P217</f>
        <v>B5701_Vpr_AW9</v>
      </c>
      <c r="B215">
        <f>'All Epitope Lists'!$Q217</f>
        <v>4868</v>
      </c>
      <c r="C215">
        <f>'All Epitope Lists'!$R217</f>
        <v>4894</v>
      </c>
    </row>
    <row r="216" spans="1:3" x14ac:dyDescent="0.2">
      <c r="A216" t="str">
        <f>'All Epitope Lists'!$P218</f>
        <v>B27_Vpr_VL9</v>
      </c>
      <c r="B216">
        <f>'All Epitope Lists'!$Q218</f>
        <v>4871</v>
      </c>
      <c r="C216">
        <f>'All Epitope Lists'!$R218</f>
        <v>4897</v>
      </c>
    </row>
    <row r="217" spans="1:3" x14ac:dyDescent="0.2">
      <c r="A217" t="str">
        <f>'All Epitope Lists'!$P219</f>
        <v>B0702_Vpr_FL9</v>
      </c>
      <c r="B217">
        <f>'All Epitope Lists'!$Q219</f>
        <v>4880</v>
      </c>
      <c r="C217">
        <f>'All Epitope Lists'!$R219</f>
        <v>4906</v>
      </c>
    </row>
    <row r="218" spans="1:3" x14ac:dyDescent="0.2">
      <c r="A218" t="str">
        <f>'All Epitope Lists'!$P220</f>
        <v>B8101_Vpr_FL9</v>
      </c>
      <c r="B218">
        <f>'All Epitope Lists'!$Q220</f>
        <v>4880</v>
      </c>
      <c r="C218">
        <f>'All Epitope Lists'!$R220</f>
        <v>4906</v>
      </c>
    </row>
    <row r="219" spans="1:3" x14ac:dyDescent="0.2">
      <c r="A219" t="str">
        <f>'All Epitope Lists'!$P221</f>
        <v>A6802_Vpr_EV10</v>
      </c>
      <c r="B219">
        <f>'All Epitope Lists'!$Q221</f>
        <v>4922</v>
      </c>
      <c r="C219">
        <f>'All Epitope Lists'!$R221</f>
        <v>4951</v>
      </c>
    </row>
    <row r="220" spans="1:3" x14ac:dyDescent="0.2">
      <c r="A220" t="str">
        <f>'All Epitope Lists'!$P222</f>
        <v>A6801_Vpr_DR11</v>
      </c>
      <c r="B220">
        <f>'All Epitope Lists'!$Q222</f>
        <v>4934</v>
      </c>
      <c r="C220">
        <f>'All Epitope Lists'!$R222</f>
        <v>4966</v>
      </c>
    </row>
    <row r="221" spans="1:3" x14ac:dyDescent="0.2">
      <c r="A221" t="str">
        <f>'All Epitope Lists'!$P223</f>
        <v>A0201_Vpr_AL9</v>
      </c>
      <c r="B221">
        <f>'All Epitope Lists'!$Q223</f>
        <v>4955</v>
      </c>
      <c r="C221">
        <f>'All Epitope Lists'!$R223</f>
        <v>4981</v>
      </c>
    </row>
    <row r="222" spans="1:3" x14ac:dyDescent="0.2">
      <c r="A222" t="str">
        <f>'All Epitope Lists'!$P224</f>
        <v>A02_Vpr_RI9</v>
      </c>
      <c r="B222">
        <f>'All Epitope Lists'!$Q224</f>
        <v>4964</v>
      </c>
      <c r="C222">
        <f>'All Epitope Lists'!$R224</f>
        <v>4990</v>
      </c>
    </row>
    <row r="223" spans="1:3" x14ac:dyDescent="0.2">
      <c r="A223" t="str">
        <f>'All Epitope Lists'!$P225</f>
        <v>B53_Tat_EW10</v>
      </c>
      <c r="B223">
        <f>'All Epitope Lists'!$Q225</f>
        <v>5055</v>
      </c>
      <c r="C223">
        <f>'All Epitope Lists'!$R225</f>
        <v>5084</v>
      </c>
    </row>
    <row r="224" spans="1:3" x14ac:dyDescent="0.2">
      <c r="A224" t="e">
        <f>'All Epitope Lists'!#REF!</f>
        <v>#REF!</v>
      </c>
      <c r="B224" t="e">
        <f>'All Epitope Lists'!#REF!</f>
        <v>#REF!</v>
      </c>
      <c r="C224" t="e">
        <f>'All Epitope Lists'!#REF!</f>
        <v>#REF!</v>
      </c>
    </row>
    <row r="225" spans="1:3" x14ac:dyDescent="0.2">
      <c r="A225" t="str">
        <f>'All Epitope Lists'!$P226</f>
        <v>Cw12_Tat_CC8</v>
      </c>
      <c r="B225">
        <f>'All Epitope Lists'!$Q226</f>
        <v>5139</v>
      </c>
      <c r="C225">
        <f>'All Epitope Lists'!$R226</f>
        <v>5162</v>
      </c>
    </row>
    <row r="226" spans="1:3" x14ac:dyDescent="0.2">
      <c r="A226" t="str">
        <f>'All Epitope Lists'!$P227</f>
        <v>B1503_Tat_FY10</v>
      </c>
      <c r="B226">
        <f>'All Epitope Lists'!$Q227</f>
        <v>5163</v>
      </c>
      <c r="C226">
        <f>'All Epitope Lists'!$R227</f>
        <v>5192</v>
      </c>
    </row>
    <row r="227" spans="1:3" x14ac:dyDescent="0.2">
      <c r="A227" t="str">
        <f>'All Epitope Lists'!$P228</f>
        <v>A6801_Tat_IR11</v>
      </c>
      <c r="B227">
        <f>'All Epitope Lists'!$Q228</f>
        <v>5166</v>
      </c>
      <c r="C227">
        <f>'All Epitope Lists'!$R228</f>
        <v>5198</v>
      </c>
    </row>
    <row r="228" spans="1:3" x14ac:dyDescent="0.2">
      <c r="A228" t="str">
        <f>'All Epitope Lists'!$P229</f>
        <v>B4402_Rev_EL9</v>
      </c>
      <c r="B228">
        <f>'All Epitope Lists'!$Q229</f>
        <v>5218</v>
      </c>
      <c r="C228">
        <f>'All Epitope Lists'!$R229</f>
        <v>5244</v>
      </c>
    </row>
    <row r="229" spans="1:3" x14ac:dyDescent="0.2">
      <c r="A229" t="str">
        <f>'All Epitope Lists'!$P230</f>
        <v>B5701_Rev_KY10</v>
      </c>
      <c r="B229">
        <f>'All Epitope Lists'!$Q230</f>
        <v>5230</v>
      </c>
      <c r="C229">
        <f>'All Epitope Lists'!$R230</f>
        <v>5259</v>
      </c>
    </row>
    <row r="230" spans="1:3" x14ac:dyDescent="0.2">
      <c r="A230" t="str">
        <f>'All Epitope Lists'!$P231</f>
        <v>B5703_Rev_QY10</v>
      </c>
      <c r="B230">
        <f>'All Epitope Lists'!$Q231</f>
        <v>5230</v>
      </c>
      <c r="C230">
        <f>'All Epitope Lists'!$R231</f>
        <v>5259</v>
      </c>
    </row>
    <row r="231" spans="1:3" x14ac:dyDescent="0.2">
      <c r="A231" t="str">
        <f>'All Epitope Lists'!$P232</f>
        <v>B5801_Rev_KY10</v>
      </c>
      <c r="B231">
        <f>'All Epitope Lists'!$Q232</f>
        <v>5230</v>
      </c>
      <c r="C231">
        <f>'All Epitope Lists'!$R232</f>
        <v>5259</v>
      </c>
    </row>
    <row r="232" spans="1:3" x14ac:dyDescent="0.2">
      <c r="A232" t="str">
        <f>'All Epitope Lists'!$P233</f>
        <v>B63_Rev_KY10</v>
      </c>
      <c r="B232">
        <f>'All Epitope Lists'!$Q233</f>
        <v>5230</v>
      </c>
      <c r="C232">
        <f>'All Epitope Lists'!$R233</f>
        <v>5259</v>
      </c>
    </row>
    <row r="233" spans="1:3" x14ac:dyDescent="0.2">
      <c r="A233" t="str">
        <f>'All Epitope Lists'!$P234</f>
        <v>Cw18_Vpu_YI9</v>
      </c>
      <c r="B233">
        <f>'All Epitope Lists'!$Q234</f>
        <v>5295</v>
      </c>
      <c r="C233">
        <f>'All Epitope Lists'!$R234</f>
        <v>5321</v>
      </c>
    </row>
    <row r="234" spans="1:3" x14ac:dyDescent="0.2">
      <c r="A234" t="str">
        <f>'All Epitope Lists'!$P235</f>
        <v>A3303_Vpu_ER9</v>
      </c>
      <c r="B234">
        <f>'All Epitope Lists'!$Q235</f>
        <v>5367</v>
      </c>
      <c r="C234">
        <f>'All Epitope Lists'!$R235</f>
        <v>5393</v>
      </c>
    </row>
    <row r="235" spans="1:3" x14ac:dyDescent="0.2">
      <c r="A235" t="str">
        <f>'All Epitope Lists'!$P236</f>
        <v>B0801_gp160_RL9</v>
      </c>
      <c r="B235">
        <f>'All Epitope Lists'!$Q236</f>
        <v>5458</v>
      </c>
      <c r="C235">
        <f>'All Epitope Lists'!$R236</f>
        <v>5484</v>
      </c>
    </row>
    <row r="236" spans="1:3" x14ac:dyDescent="0.2">
      <c r="A236" t="str">
        <f>'All Epitope Lists'!$P237</f>
        <v>B1801_gp160_AY9</v>
      </c>
      <c r="B236">
        <f>'All Epitope Lists'!$Q237</f>
        <v>5533</v>
      </c>
      <c r="C236">
        <f>'All Epitope Lists'!$R237</f>
        <v>5559</v>
      </c>
    </row>
    <row r="237" spans="1:3" x14ac:dyDescent="0.2">
      <c r="A237" t="str">
        <f>'All Epitope Lists'!$P238</f>
        <v>B44_gp160_AY9</v>
      </c>
      <c r="B237">
        <f>'All Epitope Lists'!$Q238</f>
        <v>5533</v>
      </c>
      <c r="C237">
        <f>'All Epitope Lists'!$R238</f>
        <v>5559</v>
      </c>
    </row>
    <row r="238" spans="1:3" x14ac:dyDescent="0.2">
      <c r="A238" t="str">
        <f>'All Epitope Lists'!$P239</f>
        <v>B4402_gp160_AY10</v>
      </c>
      <c r="B238">
        <f>'All Epitope Lists'!$Q239</f>
        <v>5533</v>
      </c>
      <c r="C238">
        <f>'All Epitope Lists'!$R239</f>
        <v>5562</v>
      </c>
    </row>
    <row r="239" spans="1:3" x14ac:dyDescent="0.2">
      <c r="A239" t="str">
        <f>'All Epitope Lists'!$P240</f>
        <v>A0301_gp160_TK10</v>
      </c>
      <c r="B239">
        <f>'All Epitope Lists'!$Q240</f>
        <v>5551</v>
      </c>
      <c r="C239">
        <f>'All Epitope Lists'!$R240</f>
        <v>5580</v>
      </c>
    </row>
    <row r="240" spans="1:3" x14ac:dyDescent="0.2">
      <c r="A240" t="str">
        <f>'All Epitope Lists'!$P241</f>
        <v>B5501_gp160_VT10</v>
      </c>
      <c r="B240">
        <f>'All Epitope Lists'!$Q241</f>
        <v>5566</v>
      </c>
      <c r="C240">
        <f>'All Epitope Lists'!$R241</f>
        <v>5595</v>
      </c>
    </row>
    <row r="241" spans="1:3" x14ac:dyDescent="0.2">
      <c r="A241" t="str">
        <f>'All Epitope Lists'!$P242</f>
        <v>B3501_gp160_VL11</v>
      </c>
      <c r="B241">
        <f>'All Epitope Lists'!$Q242</f>
        <v>5566</v>
      </c>
      <c r="C241">
        <f>'All Epitope Lists'!$R242</f>
        <v>5598</v>
      </c>
    </row>
    <row r="242" spans="1:3" x14ac:dyDescent="0.2">
      <c r="A242" t="str">
        <f>'All Epitope Lists'!$P243</f>
        <v>A2402_gp160_LY10</v>
      </c>
      <c r="B242">
        <f>'All Epitope Lists'!$Q243</f>
        <v>5596</v>
      </c>
      <c r="C242">
        <f>'All Epitope Lists'!$R243</f>
        <v>5625</v>
      </c>
    </row>
    <row r="243" spans="1:3" x14ac:dyDescent="0.2">
      <c r="A243" t="str">
        <f>'All Epitope Lists'!$P244</f>
        <v>B58_gp160_KW11</v>
      </c>
      <c r="B243">
        <f>'All Epitope Lists'!$Q244</f>
        <v>5617</v>
      </c>
      <c r="C243">
        <f>'All Epitope Lists'!$R244</f>
        <v>5649</v>
      </c>
    </row>
    <row r="244" spans="1:3" x14ac:dyDescent="0.2">
      <c r="A244" t="str">
        <f>'All Epitope Lists'!$P245</f>
        <v>B1801_gp160_YW9</v>
      </c>
      <c r="B244">
        <f>'All Epitope Lists'!$Q245</f>
        <v>5623</v>
      </c>
      <c r="C244">
        <f>'All Epitope Lists'!$R245</f>
        <v>5649</v>
      </c>
    </row>
    <row r="245" spans="1:3" x14ac:dyDescent="0.2">
      <c r="A245" t="str">
        <f>'All Epitope Lists'!$P246</f>
        <v>B3501_gp160_DL9</v>
      </c>
      <c r="B245">
        <f>'All Epitope Lists'!$Q246</f>
        <v>5674</v>
      </c>
      <c r="C245">
        <f>'All Epitope Lists'!$R246</f>
        <v>5700</v>
      </c>
    </row>
    <row r="246" spans="1:3" x14ac:dyDescent="0.2">
      <c r="A246" t="str">
        <f>'All Epitope Lists'!$P247</f>
        <v>B3801_gp160_MW9</v>
      </c>
      <c r="B246">
        <f>'All Epitope Lists'!$Q247</f>
        <v>5752</v>
      </c>
      <c r="C246">
        <f>'All Epitope Lists'!$R247</f>
        <v>5778</v>
      </c>
    </row>
    <row r="247" spans="1:3" x14ac:dyDescent="0.2">
      <c r="A247" t="str">
        <f>'All Epitope Lists'!$P248</f>
        <v>A0201_gp160_KL9</v>
      </c>
      <c r="B247">
        <f>'All Epitope Lists'!$Q248</f>
        <v>5803</v>
      </c>
      <c r="C247">
        <f>'All Epitope Lists'!$R248</f>
        <v>5829</v>
      </c>
    </row>
    <row r="248" spans="1:3" x14ac:dyDescent="0.2">
      <c r="A248" t="str">
        <f>'All Epitope Lists'!$P249</f>
        <v>A1101_gp160_SK9</v>
      </c>
      <c r="B248">
        <f>'All Epitope Lists'!$Q249</f>
        <v>6037</v>
      </c>
      <c r="C248">
        <f>'All Epitope Lists'!$R249</f>
        <v>6063</v>
      </c>
    </row>
    <row r="249" spans="1:3" x14ac:dyDescent="0.2">
      <c r="A249" t="str">
        <f>'All Epitope Lists'!$P250</f>
        <v>A2902_gp160_SY9</v>
      </c>
      <c r="B249">
        <f>'All Epitope Lists'!$Q250</f>
        <v>6067</v>
      </c>
      <c r="C249">
        <f>'All Epitope Lists'!$R250</f>
        <v>6093</v>
      </c>
    </row>
    <row r="250" spans="1:3" x14ac:dyDescent="0.2">
      <c r="A250" t="str">
        <f>'All Epitope Lists'!$P251</f>
        <v>Cw1_gp160_CL9</v>
      </c>
      <c r="B250">
        <f>'All Epitope Lists'!$Q251</f>
        <v>6094</v>
      </c>
      <c r="C250">
        <f>'All Epitope Lists'!$R251</f>
        <v>6120</v>
      </c>
    </row>
    <row r="251" spans="1:3" x14ac:dyDescent="0.2">
      <c r="A251" t="str">
        <f>'All Epitope Lists'!$P252</f>
        <v>B0702_gp160_RI10</v>
      </c>
      <c r="B251">
        <f>'All Epitope Lists'!$Q252</f>
        <v>6334</v>
      </c>
      <c r="C251">
        <f>'All Epitope Lists'!$R252</f>
        <v>6363</v>
      </c>
    </row>
    <row r="252" spans="1:3" x14ac:dyDescent="0.2">
      <c r="A252" t="str">
        <f>'All Epitope Lists'!$P253</f>
        <v>A3002_gp160_HY9</v>
      </c>
      <c r="B252">
        <f>'All Epitope Lists'!$Q253</f>
        <v>6364</v>
      </c>
      <c r="C252">
        <f>'All Epitope Lists'!$R253</f>
        <v>6390</v>
      </c>
    </row>
    <row r="253" spans="1:3" x14ac:dyDescent="0.2">
      <c r="A253" t="str">
        <f>'All Epitope Lists'!$P254</f>
        <v>A0201_Env_RI10</v>
      </c>
      <c r="B253">
        <f>'All Epitope Lists'!$Q254</f>
        <v>6367</v>
      </c>
      <c r="C253">
        <f>'All Epitope Lists'!$R254</f>
        <v>6396</v>
      </c>
    </row>
    <row r="254" spans="1:3" x14ac:dyDescent="0.2">
      <c r="A254" t="str">
        <f>'All Epitope Lists'!$P255</f>
        <v>A2501_gp160_EY10</v>
      </c>
      <c r="B254">
        <f>'All Epitope Lists'!$Q255</f>
        <v>6397</v>
      </c>
      <c r="C254">
        <f>'All Epitope Lists'!$R255</f>
        <v>6429</v>
      </c>
    </row>
    <row r="255" spans="1:3" x14ac:dyDescent="0.2">
      <c r="A255" t="str">
        <f>'All Epitope Lists'!$P256</f>
        <v>B1516_gp160_SF9</v>
      </c>
      <c r="B255">
        <f>'All Epitope Lists'!$Q256</f>
        <v>6559</v>
      </c>
      <c r="C255">
        <f>'All Epitope Lists'!$R256</f>
        <v>6585</v>
      </c>
    </row>
    <row r="256" spans="1:3" x14ac:dyDescent="0.2">
      <c r="A256" t="str">
        <f>'All Epitope Lists'!$P257</f>
        <v>Cw0401_gp160_SF9</v>
      </c>
      <c r="B256">
        <f>'All Epitope Lists'!$Q257</f>
        <v>6559</v>
      </c>
      <c r="C256">
        <f>'All Epitope Lists'!$R257</f>
        <v>6585</v>
      </c>
    </row>
    <row r="257" spans="1:3" x14ac:dyDescent="0.2">
      <c r="A257" t="str">
        <f>'All Epitope Lists'!$P258</f>
        <v>A29_gp160_SY10</v>
      </c>
      <c r="B257">
        <f>'All Epitope Lists'!$Q258</f>
        <v>6559</v>
      </c>
      <c r="C257">
        <f>'All Epitope Lists'!$R258</f>
        <v>6588</v>
      </c>
    </row>
    <row r="258" spans="1:3" x14ac:dyDescent="0.2">
      <c r="A258" t="str">
        <f>'All Epitope Lists'!$P259</f>
        <v>A29_gp160_FY9</v>
      </c>
      <c r="B258">
        <f>'All Epitope Lists'!$Q259</f>
        <v>6562</v>
      </c>
      <c r="C258">
        <f>'All Epitope Lists'!$R259</f>
        <v>6588</v>
      </c>
    </row>
    <row r="259" spans="1:3" x14ac:dyDescent="0.2">
      <c r="A259" t="str">
        <f>'All Epitope Lists'!$P260</f>
        <v>B5101_gp160_LI9</v>
      </c>
      <c r="B259">
        <f>'All Epitope Lists'!$Q260</f>
        <v>6673</v>
      </c>
      <c r="C259">
        <f>'All Epitope Lists'!$R260</f>
        <v>6699</v>
      </c>
    </row>
    <row r="260" spans="1:3" x14ac:dyDescent="0.2">
      <c r="A260" t="str">
        <f>'All Epitope Lists'!$P261</f>
        <v>A3201_gp160_RW9</v>
      </c>
      <c r="B260">
        <f>'All Epitope Lists'!$Q261</f>
        <v>6682</v>
      </c>
      <c r="C260">
        <f>'All Epitope Lists'!$R261</f>
        <v>6708</v>
      </c>
    </row>
    <row r="261" spans="1:3" x14ac:dyDescent="0.2">
      <c r="A261" t="str">
        <f>'All Epitope Lists'!$P262</f>
        <v>B51_gp160_RL9</v>
      </c>
      <c r="B261">
        <f>'All Epitope Lists'!$Q262</f>
        <v>7099</v>
      </c>
      <c r="C261">
        <f>'All Epitope Lists'!$R262</f>
        <v>7125</v>
      </c>
    </row>
    <row r="262" spans="1:3" x14ac:dyDescent="0.2">
      <c r="A262" t="str">
        <f>'All Epitope Lists'!$P263</f>
        <v>Cw0304_gp160_RL9</v>
      </c>
      <c r="B262">
        <f>'All Epitope Lists'!$Q263</f>
        <v>7099</v>
      </c>
      <c r="C262">
        <f>'All Epitope Lists'!$R263</f>
        <v>7125</v>
      </c>
    </row>
    <row r="263" spans="1:3" x14ac:dyDescent="0.2">
      <c r="A263" t="str">
        <f>'All Epitope Lists'!$P264</f>
        <v>Cw15_gp160_RL9</v>
      </c>
      <c r="B263">
        <f>'All Epitope Lists'!$Q264</f>
        <v>7099</v>
      </c>
      <c r="C263">
        <f>'All Epitope Lists'!$R264</f>
        <v>7125</v>
      </c>
    </row>
    <row r="264" spans="1:3" x14ac:dyDescent="0.2">
      <c r="A264" t="str">
        <f>'All Epitope Lists'!$P265</f>
        <v>Cw8_gp160_RM9</v>
      </c>
      <c r="B264">
        <f>'All Epitope Lists'!$Q265</f>
        <v>7099</v>
      </c>
      <c r="C264">
        <f>'All Epitope Lists'!$R265</f>
        <v>7125</v>
      </c>
    </row>
    <row r="265" spans="1:3" x14ac:dyDescent="0.2">
      <c r="A265" t="str">
        <f>'All Epitope Lists'!$P266</f>
        <v>B5802_gp160_QL11</v>
      </c>
      <c r="B265">
        <f>'All Epitope Lists'!$Q266</f>
        <v>7159</v>
      </c>
      <c r="C265">
        <f>'All Epitope Lists'!$R266</f>
        <v>7191</v>
      </c>
    </row>
    <row r="266" spans="1:3" x14ac:dyDescent="0.2">
      <c r="A266" t="str">
        <f>'All Epitope Lists'!$P267</f>
        <v>B1402_gp160_EL9</v>
      </c>
      <c r="B266">
        <f>'All Epitope Lists'!$Q267</f>
        <v>7180</v>
      </c>
      <c r="C266">
        <f>'All Epitope Lists'!$R267</f>
        <v>7206</v>
      </c>
    </row>
    <row r="267" spans="1:3" x14ac:dyDescent="0.2">
      <c r="A267" t="str">
        <f>'All Epitope Lists'!$P268</f>
        <v>A23_gp160_RL9</v>
      </c>
      <c r="B267">
        <f>'All Epitope Lists'!$Q268</f>
        <v>7183</v>
      </c>
      <c r="C267">
        <f>'All Epitope Lists'!$R268</f>
        <v>7209</v>
      </c>
    </row>
    <row r="268" spans="1:3" x14ac:dyDescent="0.2">
      <c r="A268" t="str">
        <f>'All Epitope Lists'!$P269</f>
        <v>A2402_gp160_RL9</v>
      </c>
      <c r="B268">
        <f>'All Epitope Lists'!$Q269</f>
        <v>7183</v>
      </c>
      <c r="C268">
        <f>'All Epitope Lists'!$R269</f>
        <v>7209</v>
      </c>
    </row>
    <row r="269" spans="1:3" x14ac:dyDescent="0.2">
      <c r="A269" t="str">
        <f>'All Epitope Lists'!$P270</f>
        <v>B0801_gp160_YL8</v>
      </c>
      <c r="B269">
        <f>'All Epitope Lists'!$Q270</f>
        <v>7186</v>
      </c>
      <c r="C269">
        <f>'All Epitope Lists'!$R270</f>
        <v>7209</v>
      </c>
    </row>
    <row r="270" spans="1:3" x14ac:dyDescent="0.2">
      <c r="A270" t="str">
        <f>'All Epitope Lists'!$P271</f>
        <v>B3501_gp160_TW9</v>
      </c>
      <c r="B270">
        <f>'All Epitope Lists'!$Q271</f>
        <v>7246</v>
      </c>
      <c r="C270">
        <f>'All Epitope Lists'!$R271</f>
        <v>7272</v>
      </c>
    </row>
    <row r="271" spans="1:3" x14ac:dyDescent="0.2">
      <c r="A271" t="str">
        <f>'All Epitope Lists'!$P272</f>
        <v>A3303_gp160_VR10</v>
      </c>
      <c r="B271">
        <f>'All Epitope Lists'!$Q272</f>
        <v>7522</v>
      </c>
      <c r="C271">
        <f>'All Epitope Lists'!$R272</f>
        <v>7551</v>
      </c>
    </row>
    <row r="272" spans="1:3" x14ac:dyDescent="0.2">
      <c r="A272" t="str">
        <f>'All Epitope Lists'!$P273</f>
        <v>A3002_gp160_IY9</v>
      </c>
      <c r="B272">
        <f>'All Epitope Lists'!$Q273</f>
        <v>7540</v>
      </c>
      <c r="C272">
        <f>'All Epitope Lists'!$R273</f>
        <v>7566</v>
      </c>
    </row>
    <row r="273" spans="1:3" x14ac:dyDescent="0.2">
      <c r="A273" t="str">
        <f>'All Epitope Lists'!$P274</f>
        <v>A0101_Rev_IY9</v>
      </c>
      <c r="B273">
        <f>'All Epitope Lists'!$Q274</f>
        <v>7671</v>
      </c>
      <c r="C273">
        <f>'All Epitope Lists'!$R274</f>
        <v>7697</v>
      </c>
    </row>
    <row r="274" spans="1:3" x14ac:dyDescent="0.2">
      <c r="A274" t="str">
        <f>'All Epitope Lists'!$P275</f>
        <v>A0301_Rev_ER10</v>
      </c>
      <c r="B274">
        <f>'All Epitope Lists'!$Q275</f>
        <v>7677</v>
      </c>
      <c r="C274">
        <f>'All Epitope Lists'!$R275</f>
        <v>7706</v>
      </c>
    </row>
    <row r="275" spans="1:3" x14ac:dyDescent="0.2">
      <c r="A275" t="str">
        <f>'All Epitope Lists'!$P276</f>
        <v>B7_Rev_RL10</v>
      </c>
      <c r="B275">
        <f>'All Epitope Lists'!$Q276</f>
        <v>7704</v>
      </c>
      <c r="C275">
        <f>'All Epitope Lists'!$R276</f>
        <v>7733</v>
      </c>
    </row>
    <row r="276" spans="1:3" x14ac:dyDescent="0.2">
      <c r="A276" t="str">
        <f>'All Epitope Lists'!$P277</f>
        <v>B14_Rev_SL9</v>
      </c>
      <c r="B276">
        <f>'All Epitope Lists'!$Q277</f>
        <v>7707</v>
      </c>
      <c r="C276">
        <f>'All Epitope Lists'!$R277</f>
        <v>7733</v>
      </c>
    </row>
    <row r="277" spans="1:3" x14ac:dyDescent="0.2">
      <c r="A277" t="str">
        <f>'All Epitope Lists'!$P278</f>
        <v>Cw0501_Rev_SL9</v>
      </c>
      <c r="B277">
        <f>'All Epitope Lists'!$Q278</f>
        <v>7707</v>
      </c>
      <c r="C277">
        <f>'All Epitope Lists'!$R278</f>
        <v>7733</v>
      </c>
    </row>
    <row r="278" spans="1:3" x14ac:dyDescent="0.2">
      <c r="A278" t="str">
        <f>'All Epitope Lists'!$P279</f>
        <v>A23_gp160_LY9</v>
      </c>
      <c r="B278">
        <f>'All Epitope Lists'!$Q279</f>
        <v>7708</v>
      </c>
      <c r="C278">
        <f>'All Epitope Lists'!$R279</f>
        <v>7734</v>
      </c>
    </row>
    <row r="279" spans="1:3" x14ac:dyDescent="0.2">
      <c r="A279" t="str">
        <f>'All Epitope Lists'!$P280</f>
        <v>A0301_gp160_RR11</v>
      </c>
      <c r="B279">
        <f>'All Epitope Lists'!$Q280</f>
        <v>7738</v>
      </c>
      <c r="C279">
        <f>'All Epitope Lists'!$R280</f>
        <v>7770</v>
      </c>
    </row>
    <row r="280" spans="1:3" x14ac:dyDescent="0.2">
      <c r="A280" t="str">
        <f>'All Epitope Lists'!$P281</f>
        <v>A3101_gp160_RR11</v>
      </c>
      <c r="B280">
        <f>'All Epitope Lists'!$Q281</f>
        <v>7738</v>
      </c>
      <c r="C280">
        <f>'All Epitope Lists'!$R281</f>
        <v>7770</v>
      </c>
    </row>
    <row r="281" spans="1:3" x14ac:dyDescent="0.2">
      <c r="A281" t="str">
        <f>'All Epitope Lists'!$P282</f>
        <v>A6802_gp160_IL9</v>
      </c>
      <c r="B281">
        <f>'All Epitope Lists'!$Q282</f>
        <v>7759</v>
      </c>
      <c r="C281">
        <f>'All Epitope Lists'!$R282</f>
        <v>7785</v>
      </c>
    </row>
    <row r="282" spans="1:3" x14ac:dyDescent="0.2">
      <c r="A282" t="str">
        <f>'All Epitope Lists'!$P283</f>
        <v>B2705_gp160_GY10</v>
      </c>
      <c r="B282">
        <f>'All Epitope Lists'!$Q283</f>
        <v>7786</v>
      </c>
      <c r="C282">
        <f>'All Epitope Lists'!$R283</f>
        <v>7815</v>
      </c>
    </row>
    <row r="283" spans="1:3" x14ac:dyDescent="0.2">
      <c r="A283" t="str">
        <f>'All Epitope Lists'!$P284</f>
        <v>A0101_gp160_RY9</v>
      </c>
      <c r="B283">
        <f>'All Epitope Lists'!$Q284</f>
        <v>7789</v>
      </c>
      <c r="C283">
        <f>'All Epitope Lists'!$R284</f>
        <v>7815</v>
      </c>
    </row>
    <row r="284" spans="1:3" x14ac:dyDescent="0.2">
      <c r="A284" t="str">
        <f>'All Epitope Lists'!$P285</f>
        <v>A3002_gp160_KY9</v>
      </c>
      <c r="B284">
        <f>'All Epitope Lists'!$Q285</f>
        <v>7810</v>
      </c>
      <c r="C284">
        <f>'All Epitope Lists'!$R285</f>
        <v>7836</v>
      </c>
    </row>
    <row r="285" spans="1:3" x14ac:dyDescent="0.2">
      <c r="A285" t="str">
        <f>'All Epitope Lists'!$P286</f>
        <v>B4001_gp160_QL10</v>
      </c>
      <c r="B285">
        <f>'All Epitope Lists'!$Q286</f>
        <v>7843</v>
      </c>
      <c r="C285">
        <f>'All Epitope Lists'!$R286</f>
        <v>7872</v>
      </c>
    </row>
    <row r="286" spans="1:3" x14ac:dyDescent="0.2">
      <c r="A286" t="str">
        <f>'All Epitope Lists'!$P287</f>
        <v>A0201_gp160_SV10</v>
      </c>
      <c r="B286">
        <f>'All Epitope Lists'!$Q287</f>
        <v>7867</v>
      </c>
      <c r="C286">
        <f>'All Epitope Lists'!$R287</f>
        <v>7896</v>
      </c>
    </row>
    <row r="287" spans="1:3" x14ac:dyDescent="0.2">
      <c r="A287" t="str">
        <f>'All Epitope Lists'!$P288</f>
        <v>A0201_gp160_LV9</v>
      </c>
      <c r="B287">
        <f>'All Epitope Lists'!$Q288</f>
        <v>7870</v>
      </c>
      <c r="C287">
        <f>'All Epitope Lists'!$R288</f>
        <v>7896</v>
      </c>
    </row>
    <row r="288" spans="1:3" x14ac:dyDescent="0.2">
      <c r="A288" t="str">
        <f>'All Epitope Lists'!$P289</f>
        <v>A3303_gp160_ER8</v>
      </c>
      <c r="B288">
        <f>'All Epitope Lists'!$Q289</f>
        <v>7921</v>
      </c>
      <c r="C288">
        <f>'All Epitope Lists'!$R289</f>
        <v>7944</v>
      </c>
    </row>
    <row r="289" spans="1:3" x14ac:dyDescent="0.2">
      <c r="A289" t="str">
        <f>'All Epitope Lists'!$P290</f>
        <v>B0702_gp160_IL9</v>
      </c>
      <c r="B289">
        <f>'All Epitope Lists'!$Q290</f>
        <v>7957</v>
      </c>
      <c r="C289">
        <f>'All Epitope Lists'!$R290</f>
        <v>7983</v>
      </c>
    </row>
    <row r="290" spans="1:3" x14ac:dyDescent="0.2">
      <c r="A290" t="str">
        <f>'All Epitope Lists'!$P291</f>
        <v>A0205_gp160_RA9</v>
      </c>
      <c r="B290">
        <f>'All Epitope Lists'!$Q291</f>
        <v>7966</v>
      </c>
      <c r="C290">
        <f>'All Epitope Lists'!$R291</f>
        <v>7992</v>
      </c>
    </row>
    <row r="291" spans="1:3" x14ac:dyDescent="0.2">
      <c r="A291" t="str">
        <f>'All Epitope Lists'!$P292</f>
        <v>B8_gp160_RL9</v>
      </c>
      <c r="B291">
        <f>'All Epitope Lists'!$Q292</f>
        <v>7972</v>
      </c>
      <c r="C291">
        <f>'All Epitope Lists'!$R292</f>
        <v>7998</v>
      </c>
    </row>
    <row r="292" spans="1:3" x14ac:dyDescent="0.2">
      <c r="A292" t="str">
        <f>'All Epitope Lists'!$P293</f>
        <v>B0801_Nef_WM8</v>
      </c>
      <c r="B292">
        <f>'All Epitope Lists'!$Q293</f>
        <v>8039</v>
      </c>
      <c r="C292">
        <f>'All Epitope Lists'!$R293</f>
        <v>8062</v>
      </c>
    </row>
    <row r="293" spans="1:3" x14ac:dyDescent="0.2">
      <c r="A293" t="str">
        <f>'All Epitope Lists'!$P294</f>
        <v>B15_Nef_RA9</v>
      </c>
      <c r="B293">
        <f>'All Epitope Lists'!$Q294</f>
        <v>8057</v>
      </c>
      <c r="C293">
        <f>'All Epitope Lists'!$R294</f>
        <v>8083</v>
      </c>
    </row>
    <row r="294" spans="1:3" x14ac:dyDescent="0.2">
      <c r="A294" t="str">
        <f>'All Epitope Lists'!$P295</f>
        <v>B62_Nef_RA9</v>
      </c>
      <c r="B294">
        <f>'All Epitope Lists'!$Q295</f>
        <v>8057</v>
      </c>
      <c r="C294">
        <f>'All Epitope Lists'!$R295</f>
        <v>8083</v>
      </c>
    </row>
    <row r="295" spans="1:3" x14ac:dyDescent="0.2">
      <c r="A295" t="str">
        <f>'All Epitope Lists'!$P296</f>
        <v>B4001_Nef_LS9</v>
      </c>
      <c r="B295">
        <f>'All Epitope Lists'!$Q296</f>
        <v>8111</v>
      </c>
      <c r="C295">
        <f>'All Epitope Lists'!$R296</f>
        <v>8137</v>
      </c>
    </row>
    <row r="296" spans="1:3" x14ac:dyDescent="0.2">
      <c r="A296" t="str">
        <f>'All Epitope Lists'!$P297</f>
        <v>B50_Nef_LS9</v>
      </c>
      <c r="B296">
        <f>'All Epitope Lists'!$Q297</f>
        <v>8111</v>
      </c>
      <c r="C296">
        <f>'All Epitope Lists'!$R297</f>
        <v>8137</v>
      </c>
    </row>
    <row r="297" spans="1:3" x14ac:dyDescent="0.2">
      <c r="A297" t="str">
        <f>'All Epitope Lists'!$P298</f>
        <v>B0702_Nef_FL9</v>
      </c>
      <c r="B297">
        <f>'All Epitope Lists'!$Q298</f>
        <v>8204</v>
      </c>
      <c r="C297">
        <f>'All Epitope Lists'!$R298</f>
        <v>8230</v>
      </c>
    </row>
    <row r="298" spans="1:3" x14ac:dyDescent="0.2">
      <c r="A298" t="str">
        <f>'All Epitope Lists'!$P299</f>
        <v>B0702_Nef_FR10</v>
      </c>
      <c r="B298">
        <f>'All Epitope Lists'!$Q299</f>
        <v>8204</v>
      </c>
      <c r="C298">
        <f>'All Epitope Lists'!$R299</f>
        <v>8233</v>
      </c>
    </row>
    <row r="299" spans="1:3" x14ac:dyDescent="0.2">
      <c r="A299" t="str">
        <f>'All Epitope Lists'!$P300</f>
        <v>B0702_Nef_TM9</v>
      </c>
      <c r="B299">
        <f>'All Epitope Lists'!$Q300</f>
        <v>8213</v>
      </c>
      <c r="C299">
        <f>'All Epitope Lists'!$R300</f>
        <v>8239</v>
      </c>
    </row>
    <row r="300" spans="1:3" x14ac:dyDescent="0.2">
      <c r="A300" t="str">
        <f>'All Epitope Lists'!$P301</f>
        <v>B4201_Nef_RM9</v>
      </c>
      <c r="B300">
        <f>'All Epitope Lists'!$Q301</f>
        <v>8213</v>
      </c>
      <c r="C300">
        <f>'All Epitope Lists'!$R301</f>
        <v>8239</v>
      </c>
    </row>
    <row r="301" spans="1:3" x14ac:dyDescent="0.2">
      <c r="A301" t="str">
        <f>'All Epitope Lists'!$P302</f>
        <v>B35_Nef_RY11</v>
      </c>
      <c r="B301">
        <f>'All Epitope Lists'!$Q302</f>
        <v>8213</v>
      </c>
      <c r="C301">
        <f>'All Epitope Lists'!$R302</f>
        <v>8245</v>
      </c>
    </row>
    <row r="302" spans="1:3" x14ac:dyDescent="0.2">
      <c r="A302" t="str">
        <f>'All Epitope Lists'!$P303</f>
        <v>A0301_Nef_QK10</v>
      </c>
      <c r="B302">
        <f>'All Epitope Lists'!$Q303</f>
        <v>8219</v>
      </c>
      <c r="C302">
        <f>'All Epitope Lists'!$R303</f>
        <v>8248</v>
      </c>
    </row>
    <row r="303" spans="1:3" x14ac:dyDescent="0.2">
      <c r="A303" t="str">
        <f>'All Epitope Lists'!$P304</f>
        <v>A1101_Nef_QK10</v>
      </c>
      <c r="B303">
        <f>'All Epitope Lists'!$Q304</f>
        <v>8219</v>
      </c>
      <c r="C303">
        <f>'All Epitope Lists'!$R304</f>
        <v>8248</v>
      </c>
    </row>
    <row r="304" spans="1:3" x14ac:dyDescent="0.2">
      <c r="A304" t="str">
        <f>'All Epitope Lists'!$P305</f>
        <v>B3501_Nef_VY8</v>
      </c>
      <c r="B304">
        <f>'All Epitope Lists'!$Q305</f>
        <v>8222</v>
      </c>
      <c r="C304">
        <f>'All Epitope Lists'!$R305</f>
        <v>8245</v>
      </c>
    </row>
    <row r="305" spans="1:3" x14ac:dyDescent="0.2">
      <c r="A305" t="str">
        <f>'All Epitope Lists'!$P306</f>
        <v>A1101_Nef_PK8</v>
      </c>
      <c r="B305">
        <f>'All Epitope Lists'!$Q306</f>
        <v>8225</v>
      </c>
      <c r="C305">
        <f>'All Epitope Lists'!$R306</f>
        <v>8248</v>
      </c>
    </row>
    <row r="306" spans="1:3" x14ac:dyDescent="0.2">
      <c r="A306" t="str">
        <f>'All Epitope Lists'!$P307</f>
        <v>B2703_Nef_LA9</v>
      </c>
      <c r="B306">
        <f>'All Epitope Lists'!$Q307</f>
        <v>8228</v>
      </c>
      <c r="C306">
        <f>'All Epitope Lists'!$R307</f>
        <v>8254</v>
      </c>
    </row>
    <row r="307" spans="1:3" x14ac:dyDescent="0.2">
      <c r="A307" t="str">
        <f>'All Epitope Lists'!$P308</f>
        <v>B0702_Nef_RL9</v>
      </c>
      <c r="B307">
        <f>'All Epitope Lists'!$Q308</f>
        <v>8231</v>
      </c>
      <c r="C307">
        <f>'All Epitope Lists'!$R308</f>
        <v>8257</v>
      </c>
    </row>
    <row r="308" spans="1:3" x14ac:dyDescent="0.2">
      <c r="A308" t="str">
        <f>'All Epitope Lists'!$P309</f>
        <v>B5703_Nef_KF9</v>
      </c>
      <c r="B308">
        <f>'All Epitope Lists'!$Q309</f>
        <v>8246</v>
      </c>
      <c r="C308">
        <f>'All Epitope Lists'!$R309</f>
        <v>8272</v>
      </c>
    </row>
    <row r="309" spans="1:3" x14ac:dyDescent="0.2">
      <c r="A309" t="str">
        <f>'All Epitope Lists'!$P310</f>
        <v>B5801_Nef_KF9</v>
      </c>
      <c r="B309">
        <f>'All Epitope Lists'!$Q310</f>
        <v>8246</v>
      </c>
      <c r="C309">
        <f>'All Epitope Lists'!$R310</f>
        <v>8272</v>
      </c>
    </row>
    <row r="310" spans="1:3" x14ac:dyDescent="0.2">
      <c r="A310" t="str">
        <f>'All Epitope Lists'!$P311</f>
        <v>Cw8_Nef_KL10</v>
      </c>
      <c r="B310">
        <f>'All Epitope Lists'!$Q311</f>
        <v>8246</v>
      </c>
      <c r="C310">
        <f>'All Epitope Lists'!$R311</f>
        <v>8275</v>
      </c>
    </row>
    <row r="311" spans="1:3" x14ac:dyDescent="0.2">
      <c r="A311" t="str">
        <f>'All Epitope Lists'!$P312</f>
        <v>A0205_Nef_GL9</v>
      </c>
      <c r="B311">
        <f>'All Epitope Lists'!$Q312</f>
        <v>8249</v>
      </c>
      <c r="C311">
        <f>'All Epitope Lists'!$R312</f>
        <v>8275</v>
      </c>
    </row>
    <row r="312" spans="1:3" x14ac:dyDescent="0.2">
      <c r="A312" t="e">
        <f>'All Epitope Lists'!#REF!</f>
        <v>#REF!</v>
      </c>
      <c r="B312" t="e">
        <f>'All Epitope Lists'!#REF!</f>
        <v>#REF!</v>
      </c>
      <c r="C312" t="e">
        <f>'All Epitope Lists'!#REF!</f>
        <v>#REF!</v>
      </c>
    </row>
    <row r="313" spans="1:3" x14ac:dyDescent="0.2">
      <c r="A313" t="str">
        <f>'All Epitope Lists'!$P313</f>
        <v>B5703_Nef_AL9</v>
      </c>
      <c r="B313">
        <f>'All Epitope Lists'!$Q313</f>
        <v>8249</v>
      </c>
      <c r="C313">
        <f>'All Epitope Lists'!$R313</f>
        <v>8275</v>
      </c>
    </row>
    <row r="314" spans="1:3" x14ac:dyDescent="0.2">
      <c r="A314" t="str">
        <f>'All Epitope Lists'!$P314</f>
        <v>B58_Nef_AL9</v>
      </c>
      <c r="B314">
        <f>'All Epitope Lists'!$Q314</f>
        <v>8249</v>
      </c>
      <c r="C314">
        <f>'All Epitope Lists'!$R314</f>
        <v>8275</v>
      </c>
    </row>
    <row r="315" spans="1:3" x14ac:dyDescent="0.2">
      <c r="A315" t="str">
        <f>'All Epitope Lists'!$P315</f>
        <v>Cw0802_Nef_AL9</v>
      </c>
      <c r="B315">
        <f>'All Epitope Lists'!$Q315</f>
        <v>8249</v>
      </c>
      <c r="C315">
        <f>'All Epitope Lists'!$R315</f>
        <v>8275</v>
      </c>
    </row>
    <row r="316" spans="1:3" x14ac:dyDescent="0.2">
      <c r="A316" t="str">
        <f>'All Epitope Lists'!$P316</f>
        <v>Cw3_Nef_AL9</v>
      </c>
      <c r="B316">
        <f>'All Epitope Lists'!$Q316</f>
        <v>8249</v>
      </c>
      <c r="C316">
        <f>'All Epitope Lists'!$R316</f>
        <v>8275</v>
      </c>
    </row>
    <row r="317" spans="1:3" x14ac:dyDescent="0.2">
      <c r="A317" t="str">
        <f>'All Epitope Lists'!$P317</f>
        <v>A0301_Nef_AK9</v>
      </c>
      <c r="B317">
        <f>'All Epitope Lists'!$Q317</f>
        <v>8252</v>
      </c>
      <c r="C317">
        <f>'All Epitope Lists'!$R317</f>
        <v>8278</v>
      </c>
    </row>
    <row r="318" spans="1:3" x14ac:dyDescent="0.2">
      <c r="A318" t="str">
        <f>'All Epitope Lists'!$P318</f>
        <v>A1101_Nef_AK9</v>
      </c>
      <c r="B318">
        <f>'All Epitope Lists'!$Q318</f>
        <v>8252</v>
      </c>
      <c r="C318">
        <f>'All Epitope Lists'!$R318</f>
        <v>8278</v>
      </c>
    </row>
    <row r="319" spans="1:3" x14ac:dyDescent="0.2">
      <c r="A319" t="str">
        <f>'All Epitope Lists'!$P319</f>
        <v>B0801_Nef_FL8</v>
      </c>
      <c r="B319">
        <f>'All Epitope Lists'!$Q319</f>
        <v>8270</v>
      </c>
      <c r="C319">
        <f>'All Epitope Lists'!$R319</f>
        <v>8293</v>
      </c>
    </row>
    <row r="320" spans="1:3" x14ac:dyDescent="0.2">
      <c r="A320" t="str">
        <f>'All Epitope Lists'!$P320</f>
        <v>B4001_Nef_KL9</v>
      </c>
      <c r="B320">
        <f>'All Epitope Lists'!$Q320</f>
        <v>8276</v>
      </c>
      <c r="C320">
        <f>'All Epitope Lists'!$R320</f>
        <v>8302</v>
      </c>
    </row>
    <row r="321" spans="1:3" x14ac:dyDescent="0.2">
      <c r="A321" t="str">
        <f>'All Epitope Lists'!$P321</f>
        <v>B4403_Nef_KY11</v>
      </c>
      <c r="B321">
        <f>'All Epitope Lists'!$Q321</f>
        <v>8276</v>
      </c>
      <c r="C321">
        <f>'All Epitope Lists'!$R321</f>
        <v>8308</v>
      </c>
    </row>
    <row r="322" spans="1:3" x14ac:dyDescent="0.2">
      <c r="A322" t="str">
        <f>'All Epitope Lists'!$P322</f>
        <v>B2705_Nef_RI10</v>
      </c>
      <c r="B322">
        <f>'All Epitope Lists'!$Q322</f>
        <v>8315</v>
      </c>
      <c r="C322">
        <f>'All Epitope Lists'!$R322</f>
        <v>8344</v>
      </c>
    </row>
    <row r="323" spans="1:3" x14ac:dyDescent="0.2">
      <c r="A323" t="str">
        <f>'All Epitope Lists'!$P323</f>
        <v>B18_Nef_RY11</v>
      </c>
      <c r="B323">
        <f>'All Epitope Lists'!$Q323</f>
        <v>8315</v>
      </c>
      <c r="C323">
        <f>'All Epitope Lists'!$R323</f>
        <v>8347</v>
      </c>
    </row>
    <row r="324" spans="1:3" x14ac:dyDescent="0.2">
      <c r="A324" t="str">
        <f>'All Epitope Lists'!$P324</f>
        <v>Cw07_Nef_RY11</v>
      </c>
      <c r="B324">
        <f>'All Epitope Lists'!$Q324</f>
        <v>8315</v>
      </c>
      <c r="C324">
        <f>'All Epitope Lists'!$R324</f>
        <v>8347</v>
      </c>
    </row>
    <row r="325" spans="1:3" x14ac:dyDescent="0.2">
      <c r="A325" t="str">
        <f>'All Epitope Lists'!$P325</f>
        <v>B13_Nef_RI9</v>
      </c>
      <c r="B325">
        <f>'All Epitope Lists'!$Q325</f>
        <v>8318</v>
      </c>
      <c r="C325">
        <f>'All Epitope Lists'!$R325</f>
        <v>8344</v>
      </c>
    </row>
    <row r="326" spans="1:3" x14ac:dyDescent="0.2">
      <c r="A326" t="str">
        <f>'All Epitope Lists'!$P326</f>
        <v>B1302_Nef_RV9</v>
      </c>
      <c r="B326">
        <f>'All Epitope Lists'!$Q326</f>
        <v>8318</v>
      </c>
      <c r="C326">
        <f>'All Epitope Lists'!$R326</f>
        <v>8344</v>
      </c>
    </row>
    <row r="327" spans="1:3" x14ac:dyDescent="0.2">
      <c r="A327" t="str">
        <f>'All Epitope Lists'!$P327</f>
        <v>B07_Nef_RY10</v>
      </c>
      <c r="B327">
        <f>'All Epitope Lists'!$Q327</f>
        <v>8321</v>
      </c>
      <c r="C327">
        <f>'All Epitope Lists'!$R327</f>
        <v>8347</v>
      </c>
    </row>
    <row r="328" spans="1:3" x14ac:dyDescent="0.2">
      <c r="A328" t="str">
        <f>'All Epitope Lists'!$P328</f>
        <v>B4402_Nef_QY9</v>
      </c>
      <c r="B328">
        <f>'All Epitope Lists'!$Q328</f>
        <v>8321</v>
      </c>
      <c r="C328">
        <f>'All Epitope Lists'!$R328</f>
        <v>8347</v>
      </c>
    </row>
    <row r="329" spans="1:3" x14ac:dyDescent="0.2">
      <c r="A329" t="str">
        <f>'All Epitope Lists'!$P329</f>
        <v>B5703_Nef_HW9</v>
      </c>
      <c r="B329">
        <f>'All Epitope Lists'!$Q329</f>
        <v>8348</v>
      </c>
      <c r="C329">
        <f>'All Epitope Lists'!$R329</f>
        <v>8374</v>
      </c>
    </row>
    <row r="330" spans="1:3" x14ac:dyDescent="0.2">
      <c r="A330" t="str">
        <f>'All Epitope Lists'!$P330</f>
        <v>B5801_Nef_HW9</v>
      </c>
      <c r="B330">
        <f>'All Epitope Lists'!$Q330</f>
        <v>8348</v>
      </c>
      <c r="C330">
        <f>'All Epitope Lists'!$R330</f>
        <v>8374</v>
      </c>
    </row>
    <row r="331" spans="1:3" x14ac:dyDescent="0.2">
      <c r="A331" t="str">
        <f>'All Epitope Lists'!$P331</f>
        <v>B57_Nef_HQ10</v>
      </c>
      <c r="B331">
        <f>'All Epitope Lists'!$Q331</f>
        <v>8348</v>
      </c>
      <c r="C331">
        <f>'All Epitope Lists'!$R331</f>
        <v>8377</v>
      </c>
    </row>
    <row r="332" spans="1:3" x14ac:dyDescent="0.2">
      <c r="A332" t="str">
        <f>'All Epitope Lists'!$P332</f>
        <v>B1501_Nef_TY11</v>
      </c>
      <c r="B332">
        <f>'All Epitope Lists'!$Q332</f>
        <v>8351</v>
      </c>
      <c r="C332">
        <f>'All Epitope Lists'!$R332</f>
        <v>8383</v>
      </c>
    </row>
    <row r="333" spans="1:3" x14ac:dyDescent="0.2">
      <c r="A333" t="str">
        <f>'All Epitope Lists'!$P333</f>
        <v>B58_Nef_GY9</v>
      </c>
      <c r="B333">
        <f>'All Epitope Lists'!$Q333</f>
        <v>8357</v>
      </c>
      <c r="C333">
        <f>'All Epitope Lists'!$R333</f>
        <v>8383</v>
      </c>
    </row>
    <row r="334" spans="1:3" x14ac:dyDescent="0.2">
      <c r="A334" t="str">
        <f>'All Epitope Lists'!$P334</f>
        <v>C02_Nef_GY9</v>
      </c>
      <c r="B334">
        <f>'All Epitope Lists'!$Q334</f>
        <v>8357</v>
      </c>
      <c r="C334">
        <f>'All Epitope Lists'!$R334</f>
        <v>8383</v>
      </c>
    </row>
    <row r="335" spans="1:3" x14ac:dyDescent="0.2">
      <c r="A335" t="str">
        <f>'All Epitope Lists'!$P336</f>
        <v>A29_Nef_YT9</v>
      </c>
      <c r="B335">
        <f>'All Epitope Lists'!$Q336</f>
        <v>8360</v>
      </c>
      <c r="C335">
        <f>'All Epitope Lists'!$R336</f>
        <v>8386</v>
      </c>
    </row>
    <row r="336" spans="1:3" x14ac:dyDescent="0.2">
      <c r="A336" t="str">
        <f>'All Epitope Lists'!$P337</f>
        <v>B35_Nef_YT9</v>
      </c>
      <c r="B336">
        <f>'All Epitope Lists'!$Q337</f>
        <v>8360</v>
      </c>
      <c r="C336">
        <f>'All Epitope Lists'!$R337</f>
        <v>8386</v>
      </c>
    </row>
    <row r="337" spans="1:3" x14ac:dyDescent="0.2">
      <c r="A337" t="str">
        <f>'All Epitope Lists'!$P338</f>
        <v>Cw6_Nef_YT9</v>
      </c>
      <c r="B337">
        <f>'All Epitope Lists'!$Q338</f>
        <v>8360</v>
      </c>
      <c r="C337">
        <f>'All Epitope Lists'!$R338</f>
        <v>8386</v>
      </c>
    </row>
    <row r="338" spans="1:3" x14ac:dyDescent="0.2">
      <c r="A338" t="str">
        <f>'All Epitope Lists'!$P339</f>
        <v>B5401_Nef_FP9</v>
      </c>
      <c r="B338">
        <f>'All Epitope Lists'!$Q339</f>
        <v>8363</v>
      </c>
      <c r="C338">
        <f>'All Epitope Lists'!$R339</f>
        <v>8389</v>
      </c>
    </row>
    <row r="339" spans="1:3" x14ac:dyDescent="0.2">
      <c r="A339" t="str">
        <f>'All Epitope Lists'!$P340</f>
        <v>A2402_Nef_NY10</v>
      </c>
      <c r="B339">
        <f>'All Epitope Lists'!$Q340</f>
        <v>8378</v>
      </c>
      <c r="C339">
        <f>'All Epitope Lists'!$R340</f>
        <v>8407</v>
      </c>
    </row>
    <row r="340" spans="1:3" x14ac:dyDescent="0.2">
      <c r="A340" t="str">
        <f>'All Epitope Lists'!$P341</f>
        <v>B57_Nef_YY9</v>
      </c>
      <c r="B340">
        <f>'All Epitope Lists'!$Q341</f>
        <v>8381</v>
      </c>
      <c r="C340">
        <f>'All Epitope Lists'!$R341</f>
        <v>8407</v>
      </c>
    </row>
    <row r="341" spans="1:3" x14ac:dyDescent="0.2">
      <c r="A341" t="str">
        <f>'All Epitope Lists'!$P342</f>
        <v>B63_Nef_YY9</v>
      </c>
      <c r="B341">
        <f>'All Epitope Lists'!$Q342</f>
        <v>8381</v>
      </c>
      <c r="C341">
        <f>'All Epitope Lists'!$R342</f>
        <v>8407</v>
      </c>
    </row>
    <row r="342" spans="1:3" x14ac:dyDescent="0.2">
      <c r="A342" t="str">
        <f>'All Epitope Lists'!$P343</f>
        <v>B0702_Nef_TL10</v>
      </c>
      <c r="B342">
        <f>'All Epitope Lists'!$Q343</f>
        <v>8384</v>
      </c>
      <c r="C342">
        <f>'All Epitope Lists'!$R343</f>
        <v>8413</v>
      </c>
    </row>
    <row r="343" spans="1:3" x14ac:dyDescent="0.2">
      <c r="A343" t="str">
        <f>'All Epitope Lists'!$P344</f>
        <v>B4201_Nef_TL10</v>
      </c>
      <c r="B343">
        <f>'All Epitope Lists'!$Q344</f>
        <v>8384</v>
      </c>
      <c r="C343">
        <f>'All Epitope Lists'!$R344</f>
        <v>8413</v>
      </c>
    </row>
    <row r="344" spans="1:3" x14ac:dyDescent="0.2">
      <c r="A344" t="str">
        <f>'All Epitope Lists'!$P345</f>
        <v>A33_Nef_TW9</v>
      </c>
      <c r="B344">
        <f>'All Epitope Lists'!$Q345</f>
        <v>8399</v>
      </c>
      <c r="C344">
        <f>'All Epitope Lists'!$R345</f>
        <v>8425</v>
      </c>
    </row>
    <row r="345" spans="1:3" x14ac:dyDescent="0.2">
      <c r="A345" t="str">
        <f>'All Epitope Lists'!$P346</f>
        <v>A2402_Nef_RW8</v>
      </c>
      <c r="B345">
        <f>'All Epitope Lists'!$Q346</f>
        <v>8402</v>
      </c>
      <c r="C345">
        <f>'All Epitope Lists'!$R346</f>
        <v>8425</v>
      </c>
    </row>
    <row r="346" spans="1:3" x14ac:dyDescent="0.2">
      <c r="A346" t="str">
        <f>'All Epitope Lists'!$P347</f>
        <v>A2402_Nef_RY10</v>
      </c>
      <c r="B346">
        <f>'All Epitope Lists'!$Q347</f>
        <v>8402</v>
      </c>
      <c r="C346">
        <f>'All Epitope Lists'!$R347</f>
        <v>8431</v>
      </c>
    </row>
    <row r="347" spans="1:3" x14ac:dyDescent="0.2">
      <c r="A347" t="str">
        <f>'All Epitope Lists'!$P348</f>
        <v>Cw07_Nef_RY10</v>
      </c>
      <c r="B347">
        <f>'All Epitope Lists'!$Q348</f>
        <v>8402</v>
      </c>
      <c r="C347">
        <f>'All Epitope Lists'!$R348</f>
        <v>8431</v>
      </c>
    </row>
    <row r="348" spans="1:3" x14ac:dyDescent="0.2">
      <c r="A348" t="str">
        <f>'All Epitope Lists'!$P349</f>
        <v>B1801_Nef_YY9</v>
      </c>
      <c r="B348">
        <f>'All Epitope Lists'!$Q349</f>
        <v>8405</v>
      </c>
      <c r="C348">
        <f>'All Epitope Lists'!$R349</f>
        <v>8431</v>
      </c>
    </row>
    <row r="349" spans="1:3" x14ac:dyDescent="0.2">
      <c r="A349" t="str">
        <f>'All Epitope Lists'!$P350</f>
        <v>B49_Nef_YY9</v>
      </c>
      <c r="B349">
        <f>'All Epitope Lists'!$Q350</f>
        <v>8405</v>
      </c>
      <c r="C349">
        <f>'All Epitope Lists'!$R350</f>
        <v>8431</v>
      </c>
    </row>
    <row r="350" spans="1:3" x14ac:dyDescent="0.2">
      <c r="A350" t="str">
        <f>'All Epitope Lists'!$P351</f>
        <v>B53_Nef_YF9</v>
      </c>
      <c r="B350">
        <f>'All Epitope Lists'!$Q351</f>
        <v>8405</v>
      </c>
      <c r="C350">
        <f>'All Epitope Lists'!$R351</f>
        <v>8431</v>
      </c>
    </row>
    <row r="351" spans="1:3" x14ac:dyDescent="0.2">
      <c r="A351" t="str">
        <f>'All Epitope Lists'!$P352</f>
        <v>A0201_Nef_PL10</v>
      </c>
      <c r="B351">
        <f>'All Epitope Lists'!$Q352</f>
        <v>8408</v>
      </c>
      <c r="C351">
        <f>'All Epitope Lists'!$R352</f>
        <v>8437</v>
      </c>
    </row>
    <row r="352" spans="1:3" x14ac:dyDescent="0.2">
      <c r="A352" t="str">
        <f>'All Epitope Lists'!$P353</f>
        <v>B57_Nef_LL9</v>
      </c>
      <c r="B352">
        <f>'All Epitope Lists'!$Q353</f>
        <v>8411</v>
      </c>
      <c r="C352">
        <f>'All Epitope Lists'!$R353</f>
        <v>8437</v>
      </c>
    </row>
    <row r="353" spans="1:3" x14ac:dyDescent="0.2">
      <c r="A353" t="str">
        <f>'All Epitope Lists'!$P354</f>
        <v>B63_Nef_LL9</v>
      </c>
      <c r="B353">
        <f>'All Epitope Lists'!$Q354</f>
        <v>8411</v>
      </c>
      <c r="C353">
        <f>'All Epitope Lists'!$R354</f>
        <v>8437</v>
      </c>
    </row>
    <row r="354" spans="1:3" x14ac:dyDescent="0.2">
      <c r="A354" t="str">
        <f>'All Epitope Lists'!$P355</f>
        <v>A02_Nef_LV10</v>
      </c>
      <c r="B354">
        <f>'All Epitope Lists'!$Q355</f>
        <v>8411</v>
      </c>
      <c r="C354">
        <f>'All Epitope Lists'!$R355</f>
        <v>8440</v>
      </c>
    </row>
    <row r="355" spans="1:3" x14ac:dyDescent="0.2">
      <c r="A355" t="str">
        <f>'All Epitope Lists'!$P356</f>
        <v>A0201_Nef_VL10</v>
      </c>
      <c r="B355">
        <f>'All Epitope Lists'!$Q356</f>
        <v>8540</v>
      </c>
      <c r="C355">
        <f>'All Epitope Lists'!$R356</f>
        <v>8569</v>
      </c>
    </row>
    <row r="356" spans="1:3" x14ac:dyDescent="0.2">
      <c r="A356" t="str">
        <f>'All Epitope Lists'!$P357</f>
        <v>A0101_Nef_WH10</v>
      </c>
      <c r="B356">
        <f>'All Epitope Lists'!$Q357</f>
        <v>8549</v>
      </c>
      <c r="C356">
        <f>'All Epitope Lists'!$R357</f>
        <v>8575</v>
      </c>
    </row>
    <row r="357" spans="1:3" x14ac:dyDescent="0.2">
      <c r="A357" t="str">
        <f>'All Epitope Lists'!$P358</f>
        <v>B1503_Nef_WF9</v>
      </c>
      <c r="B357">
        <f>'All Epitope Lists'!$Q358</f>
        <v>8549</v>
      </c>
      <c r="C357">
        <f>'All Epitope Lists'!$R358</f>
        <v>8575</v>
      </c>
    </row>
    <row r="358" spans="1:3" x14ac:dyDescent="0.2">
      <c r="A358" t="str">
        <f>'All Epitope Lists'!$P359</f>
        <v>B8_Nef_SA9</v>
      </c>
      <c r="B358">
        <f>'All Epitope Lists'!$Q359</f>
        <v>8561</v>
      </c>
      <c r="C358">
        <f>'All Epitope Lists'!$R359</f>
        <v>8587</v>
      </c>
    </row>
    <row r="359" spans="1:3" x14ac:dyDescent="0.2">
      <c r="A359" t="str">
        <f>'All Epitope Lists'!$P360</f>
        <v>A03_Nef_RR9</v>
      </c>
      <c r="B359">
        <f>'All Epitope Lists'!$Q360</f>
        <v>8564</v>
      </c>
      <c r="C359">
        <f>'All Epitope Lists'!$R360</f>
        <v>8590</v>
      </c>
    </row>
    <row r="360" spans="1:3" ht="15" customHeight="1" x14ac:dyDescent="0.2"/>
    <row r="361" spans="1:3" ht="15" customHeight="1" x14ac:dyDescent="0.2"/>
    <row r="362" spans="1:3" ht="15" customHeight="1" x14ac:dyDescent="0.2"/>
    <row r="363" spans="1:3" ht="15" customHeight="1" x14ac:dyDescent="0.2"/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Epitope Lists</vt:lpstr>
      <vt:lpstr>ASublist_HXB2_20240606</vt:lpstr>
      <vt:lpstr>ASublist_CladeB_20240606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Urbach, Jonathan</dc:creator>
  <cp:lastModifiedBy>Gaiha, Gaurav D.,MD</cp:lastModifiedBy>
  <dcterms:created xsi:type="dcterms:W3CDTF">2024-04-24T19:16:16Z</dcterms:created>
  <dcterms:modified xsi:type="dcterms:W3CDTF">2025-06-30T20:36:10Z</dcterms:modified>
</cp:coreProperties>
</file>